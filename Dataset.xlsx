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D:\Kerjaan\Research Consultant\Project P77790325 (Univariate, Bivariate, and Multivariate Test in SPSS)\"/>
    </mc:Choice>
  </mc:AlternateContent>
  <xr:revisionPtr revIDLastSave="0" documentId="13_ncr:1_{1BE40F17-853E-40E6-8E08-D34EC2C81A03}" xr6:coauthVersionLast="47" xr6:coauthVersionMax="47" xr10:uidLastSave="{00000000-0000-0000-0000-000000000000}"/>
  <bookViews>
    <workbookView xWindow="-110" yWindow="-110" windowWidth="19420" windowHeight="10300" xr2:uid="{2BCA16E0-9305-46BF-9EAA-4518EB69B79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3" i="1" l="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2" i="1"/>
  <c r="X2" i="1"/>
  <c r="Q3" i="1"/>
  <c r="R3" i="1"/>
  <c r="S3" i="1"/>
  <c r="T3" i="1"/>
  <c r="U3" i="1"/>
  <c r="V3" i="1"/>
  <c r="W3" i="1"/>
  <c r="X3" i="1"/>
  <c r="Q4" i="1"/>
  <c r="R4" i="1"/>
  <c r="S4" i="1"/>
  <c r="T4" i="1"/>
  <c r="U4" i="1"/>
  <c r="V4" i="1"/>
  <c r="W4" i="1"/>
  <c r="X4" i="1"/>
  <c r="Q5" i="1"/>
  <c r="R5" i="1"/>
  <c r="S5" i="1"/>
  <c r="T5" i="1"/>
  <c r="U5" i="1"/>
  <c r="V5" i="1"/>
  <c r="W5" i="1"/>
  <c r="X5" i="1"/>
  <c r="Q6" i="1"/>
  <c r="R6" i="1"/>
  <c r="S6" i="1"/>
  <c r="T6" i="1"/>
  <c r="U6" i="1"/>
  <c r="V6" i="1"/>
  <c r="W6" i="1"/>
  <c r="X6" i="1"/>
  <c r="Q7" i="1"/>
  <c r="R7" i="1"/>
  <c r="S7" i="1"/>
  <c r="T7" i="1"/>
  <c r="U7" i="1"/>
  <c r="V7" i="1"/>
  <c r="W7" i="1"/>
  <c r="X7" i="1"/>
  <c r="Q8" i="1"/>
  <c r="R8" i="1"/>
  <c r="S8" i="1"/>
  <c r="T8" i="1"/>
  <c r="U8" i="1"/>
  <c r="V8" i="1"/>
  <c r="W8" i="1"/>
  <c r="X8" i="1"/>
  <c r="Q9" i="1"/>
  <c r="R9" i="1"/>
  <c r="S9" i="1"/>
  <c r="T9" i="1"/>
  <c r="U9" i="1"/>
  <c r="V9" i="1"/>
  <c r="W9" i="1"/>
  <c r="X9" i="1"/>
  <c r="Q10" i="1"/>
  <c r="R10" i="1"/>
  <c r="S10" i="1"/>
  <c r="T10" i="1"/>
  <c r="U10" i="1"/>
  <c r="V10" i="1"/>
  <c r="W10" i="1"/>
  <c r="X10" i="1"/>
  <c r="Q11" i="1"/>
  <c r="R11" i="1"/>
  <c r="S11" i="1"/>
  <c r="T11" i="1"/>
  <c r="U11" i="1"/>
  <c r="V11" i="1"/>
  <c r="W11" i="1"/>
  <c r="X11" i="1"/>
  <c r="Q12" i="1"/>
  <c r="R12" i="1"/>
  <c r="S12" i="1"/>
  <c r="T12" i="1"/>
  <c r="U12" i="1"/>
  <c r="V12" i="1"/>
  <c r="W12" i="1"/>
  <c r="X12" i="1"/>
  <c r="Q13" i="1"/>
  <c r="R13" i="1"/>
  <c r="S13" i="1"/>
  <c r="T13" i="1"/>
  <c r="U13" i="1"/>
  <c r="V13" i="1"/>
  <c r="W13" i="1"/>
  <c r="X13" i="1"/>
  <c r="Q14" i="1"/>
  <c r="R14" i="1"/>
  <c r="S14" i="1"/>
  <c r="T14" i="1"/>
  <c r="U14" i="1"/>
  <c r="V14" i="1"/>
  <c r="W14" i="1"/>
  <c r="X14" i="1"/>
  <c r="Q15" i="1"/>
  <c r="R15" i="1"/>
  <c r="S15" i="1"/>
  <c r="T15" i="1"/>
  <c r="U15" i="1"/>
  <c r="V15" i="1"/>
  <c r="W15" i="1"/>
  <c r="X15" i="1"/>
  <c r="Q16" i="1"/>
  <c r="R16" i="1"/>
  <c r="S16" i="1"/>
  <c r="T16" i="1"/>
  <c r="U16" i="1"/>
  <c r="V16" i="1"/>
  <c r="W16" i="1"/>
  <c r="X16" i="1"/>
  <c r="Q17" i="1"/>
  <c r="R17" i="1"/>
  <c r="S17" i="1"/>
  <c r="T17" i="1"/>
  <c r="U17" i="1"/>
  <c r="V17" i="1"/>
  <c r="W17" i="1"/>
  <c r="X17" i="1"/>
  <c r="Q18" i="1"/>
  <c r="R18" i="1"/>
  <c r="S18" i="1"/>
  <c r="T18" i="1"/>
  <c r="U18" i="1"/>
  <c r="V18" i="1"/>
  <c r="W18" i="1"/>
  <c r="X18" i="1"/>
  <c r="Q19" i="1"/>
  <c r="R19" i="1"/>
  <c r="S19" i="1"/>
  <c r="T19" i="1"/>
  <c r="U19" i="1"/>
  <c r="V19" i="1"/>
  <c r="W19" i="1"/>
  <c r="X19" i="1"/>
  <c r="Q20" i="1"/>
  <c r="R20" i="1"/>
  <c r="S20" i="1"/>
  <c r="T20" i="1"/>
  <c r="U20" i="1"/>
  <c r="V20" i="1"/>
  <c r="W20" i="1"/>
  <c r="X20" i="1"/>
  <c r="Q21" i="1"/>
  <c r="R21" i="1"/>
  <c r="S21" i="1"/>
  <c r="T21" i="1"/>
  <c r="U21" i="1"/>
  <c r="V21" i="1"/>
  <c r="W21" i="1"/>
  <c r="X21" i="1"/>
  <c r="Q22" i="1"/>
  <c r="R22" i="1"/>
  <c r="S22" i="1"/>
  <c r="T22" i="1"/>
  <c r="U22" i="1"/>
  <c r="V22" i="1"/>
  <c r="W22" i="1"/>
  <c r="X22" i="1"/>
  <c r="Q23" i="1"/>
  <c r="R23" i="1"/>
  <c r="S23" i="1"/>
  <c r="T23" i="1"/>
  <c r="U23" i="1"/>
  <c r="V23" i="1"/>
  <c r="W23" i="1"/>
  <c r="X23" i="1"/>
  <c r="Q24" i="1"/>
  <c r="R24" i="1"/>
  <c r="S24" i="1"/>
  <c r="T24" i="1"/>
  <c r="U24" i="1"/>
  <c r="V24" i="1"/>
  <c r="W24" i="1"/>
  <c r="X24" i="1"/>
  <c r="Q25" i="1"/>
  <c r="R25" i="1"/>
  <c r="S25" i="1"/>
  <c r="T25" i="1"/>
  <c r="U25" i="1"/>
  <c r="V25" i="1"/>
  <c r="W25" i="1"/>
  <c r="X25" i="1"/>
  <c r="Q26" i="1"/>
  <c r="R26" i="1"/>
  <c r="S26" i="1"/>
  <c r="T26" i="1"/>
  <c r="U26" i="1"/>
  <c r="V26" i="1"/>
  <c r="W26" i="1"/>
  <c r="X26" i="1"/>
  <c r="Q27" i="1"/>
  <c r="R27" i="1"/>
  <c r="S27" i="1"/>
  <c r="T27" i="1"/>
  <c r="U27" i="1"/>
  <c r="V27" i="1"/>
  <c r="W27" i="1"/>
  <c r="X27" i="1"/>
  <c r="Q28" i="1"/>
  <c r="R28" i="1"/>
  <c r="S28" i="1"/>
  <c r="T28" i="1"/>
  <c r="U28" i="1"/>
  <c r="V28" i="1"/>
  <c r="W28" i="1"/>
  <c r="X28" i="1"/>
  <c r="Q29" i="1"/>
  <c r="R29" i="1"/>
  <c r="S29" i="1"/>
  <c r="T29" i="1"/>
  <c r="U29" i="1"/>
  <c r="V29" i="1"/>
  <c r="W29" i="1"/>
  <c r="X29" i="1"/>
  <c r="Q30" i="1"/>
  <c r="R30" i="1"/>
  <c r="S30" i="1"/>
  <c r="T30" i="1"/>
  <c r="U30" i="1"/>
  <c r="V30" i="1"/>
  <c r="W30" i="1"/>
  <c r="X30" i="1"/>
  <c r="Q31" i="1"/>
  <c r="R31" i="1"/>
  <c r="S31" i="1"/>
  <c r="T31" i="1"/>
  <c r="U31" i="1"/>
  <c r="V31" i="1"/>
  <c r="W31" i="1"/>
  <c r="X31" i="1"/>
  <c r="Q32" i="1"/>
  <c r="R32" i="1"/>
  <c r="S32" i="1"/>
  <c r="T32" i="1"/>
  <c r="U32" i="1"/>
  <c r="V32" i="1"/>
  <c r="W32" i="1"/>
  <c r="X32" i="1"/>
  <c r="Q33" i="1"/>
  <c r="R33" i="1"/>
  <c r="S33" i="1"/>
  <c r="T33" i="1"/>
  <c r="U33" i="1"/>
  <c r="V33" i="1"/>
  <c r="W33" i="1"/>
  <c r="X33" i="1"/>
  <c r="Q34" i="1"/>
  <c r="R34" i="1"/>
  <c r="S34" i="1"/>
  <c r="T34" i="1"/>
  <c r="U34" i="1"/>
  <c r="V34" i="1"/>
  <c r="W34" i="1"/>
  <c r="X34" i="1"/>
  <c r="Q35" i="1"/>
  <c r="R35" i="1"/>
  <c r="S35" i="1"/>
  <c r="T35" i="1"/>
  <c r="U35" i="1"/>
  <c r="V35" i="1"/>
  <c r="W35" i="1"/>
  <c r="X35" i="1"/>
  <c r="Q36" i="1"/>
  <c r="R36" i="1"/>
  <c r="S36" i="1"/>
  <c r="T36" i="1"/>
  <c r="U36" i="1"/>
  <c r="V36" i="1"/>
  <c r="W36" i="1"/>
  <c r="X36" i="1"/>
  <c r="Q37" i="1"/>
  <c r="R37" i="1"/>
  <c r="S37" i="1"/>
  <c r="T37" i="1"/>
  <c r="U37" i="1"/>
  <c r="V37" i="1"/>
  <c r="W37" i="1"/>
  <c r="X37" i="1"/>
  <c r="Q38" i="1"/>
  <c r="R38" i="1"/>
  <c r="S38" i="1"/>
  <c r="T38" i="1"/>
  <c r="U38" i="1"/>
  <c r="V38" i="1"/>
  <c r="W38" i="1"/>
  <c r="X38" i="1"/>
  <c r="Q39" i="1"/>
  <c r="R39" i="1"/>
  <c r="S39" i="1"/>
  <c r="T39" i="1"/>
  <c r="U39" i="1"/>
  <c r="V39" i="1"/>
  <c r="W39" i="1"/>
  <c r="X39" i="1"/>
  <c r="Q40" i="1"/>
  <c r="R40" i="1"/>
  <c r="S40" i="1"/>
  <c r="T40" i="1"/>
  <c r="U40" i="1"/>
  <c r="V40" i="1"/>
  <c r="W40" i="1"/>
  <c r="X40" i="1"/>
  <c r="Q41" i="1"/>
  <c r="R41" i="1"/>
  <c r="S41" i="1"/>
  <c r="T41" i="1"/>
  <c r="U41" i="1"/>
  <c r="V41" i="1"/>
  <c r="W41" i="1"/>
  <c r="X41" i="1"/>
  <c r="Q42" i="1"/>
  <c r="R42" i="1"/>
  <c r="S42" i="1"/>
  <c r="T42" i="1"/>
  <c r="U42" i="1"/>
  <c r="V42" i="1"/>
  <c r="W42" i="1"/>
  <c r="X42" i="1"/>
  <c r="Q43" i="1"/>
  <c r="R43" i="1"/>
  <c r="S43" i="1"/>
  <c r="T43" i="1"/>
  <c r="U43" i="1"/>
  <c r="V43" i="1"/>
  <c r="W43" i="1"/>
  <c r="X43" i="1"/>
  <c r="Q44" i="1"/>
  <c r="R44" i="1"/>
  <c r="S44" i="1"/>
  <c r="T44" i="1"/>
  <c r="U44" i="1"/>
  <c r="V44" i="1"/>
  <c r="W44" i="1"/>
  <c r="X44" i="1"/>
  <c r="Q45" i="1"/>
  <c r="R45" i="1"/>
  <c r="S45" i="1"/>
  <c r="T45" i="1"/>
  <c r="U45" i="1"/>
  <c r="V45" i="1"/>
  <c r="W45" i="1"/>
  <c r="X45" i="1"/>
  <c r="Q46" i="1"/>
  <c r="R46" i="1"/>
  <c r="S46" i="1"/>
  <c r="T46" i="1"/>
  <c r="U46" i="1"/>
  <c r="V46" i="1"/>
  <c r="W46" i="1"/>
  <c r="X46" i="1"/>
  <c r="Q47" i="1"/>
  <c r="R47" i="1"/>
  <c r="S47" i="1"/>
  <c r="T47" i="1"/>
  <c r="U47" i="1"/>
  <c r="V47" i="1"/>
  <c r="W47" i="1"/>
  <c r="X47" i="1"/>
  <c r="Q48" i="1"/>
  <c r="R48" i="1"/>
  <c r="S48" i="1"/>
  <c r="T48" i="1"/>
  <c r="U48" i="1"/>
  <c r="V48" i="1"/>
  <c r="W48" i="1"/>
  <c r="X48" i="1"/>
  <c r="Q49" i="1"/>
  <c r="R49" i="1"/>
  <c r="S49" i="1"/>
  <c r="T49" i="1"/>
  <c r="U49" i="1"/>
  <c r="V49" i="1"/>
  <c r="W49" i="1"/>
  <c r="X49" i="1"/>
  <c r="Q50" i="1"/>
  <c r="R50" i="1"/>
  <c r="S50" i="1"/>
  <c r="T50" i="1"/>
  <c r="U50" i="1"/>
  <c r="V50" i="1"/>
  <c r="W50" i="1"/>
  <c r="X50" i="1"/>
  <c r="Q51" i="1"/>
  <c r="R51" i="1"/>
  <c r="S51" i="1"/>
  <c r="T51" i="1"/>
  <c r="U51" i="1"/>
  <c r="V51" i="1"/>
  <c r="W51" i="1"/>
  <c r="X51" i="1"/>
  <c r="Q52" i="1"/>
  <c r="R52" i="1"/>
  <c r="S52" i="1"/>
  <c r="T52" i="1"/>
  <c r="U52" i="1"/>
  <c r="V52" i="1"/>
  <c r="W52" i="1"/>
  <c r="X52" i="1"/>
  <c r="Q53" i="1"/>
  <c r="R53" i="1"/>
  <c r="S53" i="1"/>
  <c r="T53" i="1"/>
  <c r="U53" i="1"/>
  <c r="V53" i="1"/>
  <c r="W53" i="1"/>
  <c r="X53" i="1"/>
  <c r="Q54" i="1"/>
  <c r="R54" i="1"/>
  <c r="S54" i="1"/>
  <c r="T54" i="1"/>
  <c r="U54" i="1"/>
  <c r="V54" i="1"/>
  <c r="W54" i="1"/>
  <c r="X54" i="1"/>
  <c r="Q55" i="1"/>
  <c r="R55" i="1"/>
  <c r="S55" i="1"/>
  <c r="T55" i="1"/>
  <c r="U55" i="1"/>
  <c r="V55" i="1"/>
  <c r="W55" i="1"/>
  <c r="X55" i="1"/>
  <c r="Q56" i="1"/>
  <c r="R56" i="1"/>
  <c r="S56" i="1"/>
  <c r="T56" i="1"/>
  <c r="U56" i="1"/>
  <c r="V56" i="1"/>
  <c r="W56" i="1"/>
  <c r="X56" i="1"/>
  <c r="Q57" i="1"/>
  <c r="R57" i="1"/>
  <c r="S57" i="1"/>
  <c r="T57" i="1"/>
  <c r="U57" i="1"/>
  <c r="V57" i="1"/>
  <c r="W57" i="1"/>
  <c r="X57" i="1"/>
  <c r="Q58" i="1"/>
  <c r="R58" i="1"/>
  <c r="S58" i="1"/>
  <c r="T58" i="1"/>
  <c r="U58" i="1"/>
  <c r="V58" i="1"/>
  <c r="W58" i="1"/>
  <c r="X58" i="1"/>
  <c r="Q59" i="1"/>
  <c r="R59" i="1"/>
  <c r="S59" i="1"/>
  <c r="T59" i="1"/>
  <c r="U59" i="1"/>
  <c r="V59" i="1"/>
  <c r="W59" i="1"/>
  <c r="X59" i="1"/>
  <c r="Q60" i="1"/>
  <c r="R60" i="1"/>
  <c r="S60" i="1"/>
  <c r="T60" i="1"/>
  <c r="U60" i="1"/>
  <c r="V60" i="1"/>
  <c r="W60" i="1"/>
  <c r="X60" i="1"/>
  <c r="Q61" i="1"/>
  <c r="R61" i="1"/>
  <c r="S61" i="1"/>
  <c r="T61" i="1"/>
  <c r="U61" i="1"/>
  <c r="V61" i="1"/>
  <c r="W61" i="1"/>
  <c r="X61" i="1"/>
  <c r="Q62" i="1"/>
  <c r="R62" i="1"/>
  <c r="S62" i="1"/>
  <c r="T62" i="1"/>
  <c r="U62" i="1"/>
  <c r="V62" i="1"/>
  <c r="W62" i="1"/>
  <c r="X62" i="1"/>
  <c r="Q63" i="1"/>
  <c r="R63" i="1"/>
  <c r="S63" i="1"/>
  <c r="T63" i="1"/>
  <c r="U63" i="1"/>
  <c r="V63" i="1"/>
  <c r="W63" i="1"/>
  <c r="X63" i="1"/>
  <c r="Q64" i="1"/>
  <c r="R64" i="1"/>
  <c r="S64" i="1"/>
  <c r="T64" i="1"/>
  <c r="U64" i="1"/>
  <c r="V64" i="1"/>
  <c r="W64" i="1"/>
  <c r="X64" i="1"/>
  <c r="Q65" i="1"/>
  <c r="R65" i="1"/>
  <c r="S65" i="1"/>
  <c r="T65" i="1"/>
  <c r="U65" i="1"/>
  <c r="V65" i="1"/>
  <c r="W65" i="1"/>
  <c r="X65" i="1"/>
  <c r="Q66" i="1"/>
  <c r="R66" i="1"/>
  <c r="S66" i="1"/>
  <c r="T66" i="1"/>
  <c r="U66" i="1"/>
  <c r="V66" i="1"/>
  <c r="W66" i="1"/>
  <c r="X66" i="1"/>
  <c r="Q67" i="1"/>
  <c r="R67" i="1"/>
  <c r="S67" i="1"/>
  <c r="T67" i="1"/>
  <c r="U67" i="1"/>
  <c r="V67" i="1"/>
  <c r="W67" i="1"/>
  <c r="X67" i="1"/>
  <c r="Q68" i="1"/>
  <c r="R68" i="1"/>
  <c r="S68" i="1"/>
  <c r="T68" i="1"/>
  <c r="U68" i="1"/>
  <c r="V68" i="1"/>
  <c r="W68" i="1"/>
  <c r="X68" i="1"/>
  <c r="Q69" i="1"/>
  <c r="R69" i="1"/>
  <c r="S69" i="1"/>
  <c r="T69" i="1"/>
  <c r="U69" i="1"/>
  <c r="V69" i="1"/>
  <c r="W69" i="1"/>
  <c r="X69" i="1"/>
  <c r="Q70" i="1"/>
  <c r="R70" i="1"/>
  <c r="S70" i="1"/>
  <c r="T70" i="1"/>
  <c r="U70" i="1"/>
  <c r="V70" i="1"/>
  <c r="W70" i="1"/>
  <c r="X70" i="1"/>
  <c r="Q71" i="1"/>
  <c r="R71" i="1"/>
  <c r="S71" i="1"/>
  <c r="T71" i="1"/>
  <c r="U71" i="1"/>
  <c r="V71" i="1"/>
  <c r="W71" i="1"/>
  <c r="X71" i="1"/>
  <c r="Q72" i="1"/>
  <c r="R72" i="1"/>
  <c r="S72" i="1"/>
  <c r="T72" i="1"/>
  <c r="U72" i="1"/>
  <c r="V72" i="1"/>
  <c r="W72" i="1"/>
  <c r="X72" i="1"/>
  <c r="Q73" i="1"/>
  <c r="R73" i="1"/>
  <c r="S73" i="1"/>
  <c r="T73" i="1"/>
  <c r="U73" i="1"/>
  <c r="V73" i="1"/>
  <c r="W73" i="1"/>
  <c r="X73" i="1"/>
  <c r="Q74" i="1"/>
  <c r="R74" i="1"/>
  <c r="S74" i="1"/>
  <c r="T74" i="1"/>
  <c r="U74" i="1"/>
  <c r="V74" i="1"/>
  <c r="W74" i="1"/>
  <c r="X74" i="1"/>
  <c r="Q75" i="1"/>
  <c r="R75" i="1"/>
  <c r="S75" i="1"/>
  <c r="T75" i="1"/>
  <c r="U75" i="1"/>
  <c r="V75" i="1"/>
  <c r="W75" i="1"/>
  <c r="X75" i="1"/>
  <c r="Q76" i="1"/>
  <c r="R76" i="1"/>
  <c r="S76" i="1"/>
  <c r="T76" i="1"/>
  <c r="U76" i="1"/>
  <c r="V76" i="1"/>
  <c r="W76" i="1"/>
  <c r="X76" i="1"/>
  <c r="Q77" i="1"/>
  <c r="R77" i="1"/>
  <c r="S77" i="1"/>
  <c r="T77" i="1"/>
  <c r="U77" i="1"/>
  <c r="V77" i="1"/>
  <c r="W77" i="1"/>
  <c r="X77" i="1"/>
  <c r="Q78" i="1"/>
  <c r="R78" i="1"/>
  <c r="S78" i="1"/>
  <c r="T78" i="1"/>
  <c r="U78" i="1"/>
  <c r="V78" i="1"/>
  <c r="W78" i="1"/>
  <c r="X78" i="1"/>
  <c r="Q79" i="1"/>
  <c r="R79" i="1"/>
  <c r="S79" i="1"/>
  <c r="T79" i="1"/>
  <c r="U79" i="1"/>
  <c r="V79" i="1"/>
  <c r="W79" i="1"/>
  <c r="X79" i="1"/>
  <c r="Q80" i="1"/>
  <c r="R80" i="1"/>
  <c r="S80" i="1"/>
  <c r="T80" i="1"/>
  <c r="U80" i="1"/>
  <c r="V80" i="1"/>
  <c r="W80" i="1"/>
  <c r="X80" i="1"/>
  <c r="Q81" i="1"/>
  <c r="R81" i="1"/>
  <c r="S81" i="1"/>
  <c r="T81" i="1"/>
  <c r="U81" i="1"/>
  <c r="V81" i="1"/>
  <c r="W81" i="1"/>
  <c r="X81" i="1"/>
  <c r="Q82" i="1"/>
  <c r="R82" i="1"/>
  <c r="S82" i="1"/>
  <c r="T82" i="1"/>
  <c r="U82" i="1"/>
  <c r="V82" i="1"/>
  <c r="W82" i="1"/>
  <c r="X82" i="1"/>
  <c r="Q83" i="1"/>
  <c r="R83" i="1"/>
  <c r="S83" i="1"/>
  <c r="T83" i="1"/>
  <c r="U83" i="1"/>
  <c r="V83" i="1"/>
  <c r="W83" i="1"/>
  <c r="X83" i="1"/>
  <c r="Q84" i="1"/>
  <c r="R84" i="1"/>
  <c r="S84" i="1"/>
  <c r="T84" i="1"/>
  <c r="U84" i="1"/>
  <c r="V84" i="1"/>
  <c r="W84" i="1"/>
  <c r="X84" i="1"/>
  <c r="Q85" i="1"/>
  <c r="R85" i="1"/>
  <c r="S85" i="1"/>
  <c r="T85" i="1"/>
  <c r="U85" i="1"/>
  <c r="V85" i="1"/>
  <c r="W85" i="1"/>
  <c r="X85" i="1"/>
  <c r="Q86" i="1"/>
  <c r="R86" i="1"/>
  <c r="S86" i="1"/>
  <c r="T86" i="1"/>
  <c r="U86" i="1"/>
  <c r="V86" i="1"/>
  <c r="W86" i="1"/>
  <c r="X86" i="1"/>
  <c r="Q87" i="1"/>
  <c r="R87" i="1"/>
  <c r="S87" i="1"/>
  <c r="T87" i="1"/>
  <c r="U87" i="1"/>
  <c r="V87" i="1"/>
  <c r="W87" i="1"/>
  <c r="X87" i="1"/>
  <c r="Q88" i="1"/>
  <c r="R88" i="1"/>
  <c r="S88" i="1"/>
  <c r="T88" i="1"/>
  <c r="U88" i="1"/>
  <c r="V88" i="1"/>
  <c r="W88" i="1"/>
  <c r="X88" i="1"/>
  <c r="Q89" i="1"/>
  <c r="R89" i="1"/>
  <c r="S89" i="1"/>
  <c r="T89" i="1"/>
  <c r="U89" i="1"/>
  <c r="V89" i="1"/>
  <c r="W89" i="1"/>
  <c r="X89" i="1"/>
  <c r="Q90" i="1"/>
  <c r="R90" i="1"/>
  <c r="S90" i="1"/>
  <c r="T90" i="1"/>
  <c r="U90" i="1"/>
  <c r="V90" i="1"/>
  <c r="W90" i="1"/>
  <c r="X90" i="1"/>
  <c r="Q91" i="1"/>
  <c r="R91" i="1"/>
  <c r="S91" i="1"/>
  <c r="T91" i="1"/>
  <c r="U91" i="1"/>
  <c r="V91" i="1"/>
  <c r="W91" i="1"/>
  <c r="X91" i="1"/>
  <c r="Q92" i="1"/>
  <c r="R92" i="1"/>
  <c r="S92" i="1"/>
  <c r="T92" i="1"/>
  <c r="U92" i="1"/>
  <c r="V92" i="1"/>
  <c r="W92" i="1"/>
  <c r="X92" i="1"/>
  <c r="Q93" i="1"/>
  <c r="R93" i="1"/>
  <c r="S93" i="1"/>
  <c r="T93" i="1"/>
  <c r="U93" i="1"/>
  <c r="V93" i="1"/>
  <c r="W93" i="1"/>
  <c r="X93" i="1"/>
  <c r="Q94" i="1"/>
  <c r="R94" i="1"/>
  <c r="S94" i="1"/>
  <c r="T94" i="1"/>
  <c r="U94" i="1"/>
  <c r="V94" i="1"/>
  <c r="W94" i="1"/>
  <c r="X94" i="1"/>
  <c r="Q95" i="1"/>
  <c r="R95" i="1"/>
  <c r="S95" i="1"/>
  <c r="T95" i="1"/>
  <c r="U95" i="1"/>
  <c r="V95" i="1"/>
  <c r="W95" i="1"/>
  <c r="X95" i="1"/>
  <c r="Q96" i="1"/>
  <c r="R96" i="1"/>
  <c r="S96" i="1"/>
  <c r="T96" i="1"/>
  <c r="U96" i="1"/>
  <c r="V96" i="1"/>
  <c r="W96" i="1"/>
  <c r="X96" i="1"/>
  <c r="Q97" i="1"/>
  <c r="R97" i="1"/>
  <c r="S97" i="1"/>
  <c r="T97" i="1"/>
  <c r="U97" i="1"/>
  <c r="V97" i="1"/>
  <c r="W97" i="1"/>
  <c r="X97" i="1"/>
  <c r="W2" i="1"/>
  <c r="V2" i="1"/>
  <c r="U2" i="1"/>
  <c r="T2" i="1"/>
  <c r="S2" i="1"/>
  <c r="R2" i="1"/>
  <c r="Q2" i="1"/>
  <c r="O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2" i="1"/>
  <c r="AT2" i="1"/>
  <c r="N2"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2"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2" i="1"/>
  <c r="AF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V3" i="1"/>
  <c r="AV4" i="1"/>
  <c r="AV5" i="1"/>
  <c r="AV6" i="1"/>
  <c r="AV7" i="1"/>
  <c r="AV8" i="1"/>
  <c r="AV9" i="1"/>
  <c r="AV10" i="1"/>
  <c r="AV11" i="1"/>
  <c r="AV12" i="1"/>
  <c r="AV13" i="1"/>
  <c r="AV14" i="1"/>
  <c r="AV15" i="1"/>
  <c r="AV16" i="1"/>
  <c r="AV17" i="1"/>
  <c r="AV18" i="1"/>
  <c r="AV19" i="1"/>
  <c r="AV20" i="1"/>
  <c r="AV21" i="1"/>
  <c r="AV22" i="1"/>
  <c r="AV23" i="1"/>
  <c r="AV24" i="1"/>
  <c r="AV25" i="1"/>
  <c r="AV26" i="1"/>
  <c r="AV27" i="1"/>
  <c r="AV28" i="1"/>
  <c r="AV29" i="1"/>
  <c r="AV30" i="1"/>
  <c r="AV31" i="1"/>
  <c r="AV32" i="1"/>
  <c r="AV33" i="1"/>
  <c r="AV34" i="1"/>
  <c r="AV35" i="1"/>
  <c r="AV36" i="1"/>
  <c r="AV37" i="1"/>
  <c r="AV38" i="1"/>
  <c r="AV39" i="1"/>
  <c r="AV40" i="1"/>
  <c r="AV41" i="1"/>
  <c r="AV42" i="1"/>
  <c r="AV43" i="1"/>
  <c r="AV44" i="1"/>
  <c r="AV45" i="1"/>
  <c r="AV46" i="1"/>
  <c r="AV47" i="1"/>
  <c r="AV48" i="1"/>
  <c r="AV49" i="1"/>
  <c r="AV50" i="1"/>
  <c r="AV51" i="1"/>
  <c r="AV52" i="1"/>
  <c r="AV53" i="1"/>
  <c r="AV54" i="1"/>
  <c r="AV55" i="1"/>
  <c r="AV56" i="1"/>
  <c r="AV57" i="1"/>
  <c r="AV58" i="1"/>
  <c r="AV59" i="1"/>
  <c r="AV60" i="1"/>
  <c r="AV61" i="1"/>
  <c r="AV62" i="1"/>
  <c r="AV63" i="1"/>
  <c r="AV64" i="1"/>
  <c r="AV65" i="1"/>
  <c r="AV66" i="1"/>
  <c r="AV67" i="1"/>
  <c r="AV68" i="1"/>
  <c r="AV69" i="1"/>
  <c r="AV70" i="1"/>
  <c r="AV71" i="1"/>
  <c r="AV72" i="1"/>
  <c r="AV73" i="1"/>
  <c r="AV74" i="1"/>
  <c r="AV75" i="1"/>
  <c r="AV76" i="1"/>
  <c r="AV77" i="1"/>
  <c r="AV78" i="1"/>
  <c r="AV79" i="1"/>
  <c r="AV80" i="1"/>
  <c r="AV81" i="1"/>
  <c r="AV82" i="1"/>
  <c r="AV83" i="1"/>
  <c r="AV84" i="1"/>
  <c r="AV85" i="1"/>
  <c r="AV86" i="1"/>
  <c r="AV87" i="1"/>
  <c r="AV88" i="1"/>
  <c r="AV89" i="1"/>
  <c r="AV90" i="1"/>
  <c r="AV91" i="1"/>
  <c r="AV92" i="1"/>
  <c r="AV93" i="1"/>
  <c r="AV94" i="1"/>
  <c r="AV95" i="1"/>
  <c r="AV96" i="1"/>
  <c r="AV97" i="1"/>
  <c r="AV2" i="1"/>
  <c r="AT3" i="1"/>
  <c r="AW3" i="1" s="1"/>
  <c r="AT4" i="1"/>
  <c r="AW4" i="1" s="1"/>
  <c r="AT5" i="1"/>
  <c r="AW5" i="1" s="1"/>
  <c r="AT6" i="1"/>
  <c r="AW6" i="1" s="1"/>
  <c r="AT7" i="1"/>
  <c r="AT8" i="1"/>
  <c r="AT9" i="1"/>
  <c r="AT10" i="1"/>
  <c r="AT11" i="1"/>
  <c r="AW11" i="1" s="1"/>
  <c r="AT12" i="1"/>
  <c r="AT13" i="1"/>
  <c r="AT14" i="1"/>
  <c r="AW14" i="1" s="1"/>
  <c r="AT15" i="1"/>
  <c r="AT16" i="1"/>
  <c r="AW16" i="1" s="1"/>
  <c r="AT17" i="1"/>
  <c r="AT18" i="1"/>
  <c r="AT19" i="1"/>
  <c r="AW19" i="1" s="1"/>
  <c r="AT20" i="1"/>
  <c r="AW20" i="1" s="1"/>
  <c r="AT21" i="1"/>
  <c r="AW21" i="1" s="1"/>
  <c r="AT22" i="1"/>
  <c r="AW22" i="1" s="1"/>
  <c r="AT23" i="1"/>
  <c r="AT24" i="1"/>
  <c r="AT25" i="1"/>
  <c r="AT26" i="1"/>
  <c r="AT27" i="1"/>
  <c r="AW27" i="1" s="1"/>
  <c r="AT28" i="1"/>
  <c r="AT29" i="1"/>
  <c r="AT30" i="1"/>
  <c r="AW30" i="1" s="1"/>
  <c r="AT31" i="1"/>
  <c r="AT32" i="1"/>
  <c r="AW32" i="1" s="1"/>
  <c r="AT33" i="1"/>
  <c r="AT34" i="1"/>
  <c r="AT35" i="1"/>
  <c r="AW35" i="1" s="1"/>
  <c r="AT36" i="1"/>
  <c r="AT37" i="1"/>
  <c r="AT38" i="1"/>
  <c r="AW38" i="1" s="1"/>
  <c r="AT39" i="1"/>
  <c r="AT40" i="1"/>
  <c r="AT41" i="1"/>
  <c r="AT42" i="1"/>
  <c r="AT43" i="1"/>
  <c r="AW43" i="1" s="1"/>
  <c r="AT44" i="1"/>
  <c r="AW44" i="1" s="1"/>
  <c r="AT45" i="1"/>
  <c r="AT46" i="1"/>
  <c r="AT47" i="1"/>
  <c r="AT48" i="1"/>
  <c r="AT49" i="1"/>
  <c r="AT50" i="1"/>
  <c r="AT51" i="1"/>
  <c r="AW51" i="1" s="1"/>
  <c r="AT52" i="1"/>
  <c r="AW52" i="1" s="1"/>
  <c r="AT53" i="1"/>
  <c r="AT54" i="1"/>
  <c r="AT55" i="1"/>
  <c r="AT56" i="1"/>
  <c r="AW56" i="1" s="1"/>
  <c r="AT57" i="1"/>
  <c r="AT58" i="1"/>
  <c r="AT59" i="1"/>
  <c r="AW59" i="1" s="1"/>
  <c r="AT60" i="1"/>
  <c r="AT61" i="1"/>
  <c r="AW61" i="1" s="1"/>
  <c r="AT62" i="1"/>
  <c r="AW62" i="1" s="1"/>
  <c r="AT63" i="1"/>
  <c r="AT64" i="1"/>
  <c r="AW64" i="1" s="1"/>
  <c r="AT65" i="1"/>
  <c r="AT66" i="1"/>
  <c r="AT67" i="1"/>
  <c r="AT68" i="1"/>
  <c r="AT69" i="1"/>
  <c r="AW69" i="1" s="1"/>
  <c r="AT70" i="1"/>
  <c r="AT71" i="1"/>
  <c r="AT72" i="1"/>
  <c r="AT73" i="1"/>
  <c r="AT74" i="1"/>
  <c r="AT75" i="1"/>
  <c r="AW75" i="1" s="1"/>
  <c r="AT76" i="1"/>
  <c r="AT77" i="1"/>
  <c r="AW77" i="1" s="1"/>
  <c r="AT78" i="1"/>
  <c r="AT79" i="1"/>
  <c r="AT80" i="1"/>
  <c r="AT81" i="1"/>
  <c r="AT82" i="1"/>
  <c r="AT83" i="1"/>
  <c r="AW83" i="1" s="1"/>
  <c r="AT84" i="1"/>
  <c r="AT85" i="1"/>
  <c r="AT86" i="1"/>
  <c r="AT87" i="1"/>
  <c r="AT88" i="1"/>
  <c r="AT89" i="1"/>
  <c r="AT90" i="1"/>
  <c r="AT91" i="1"/>
  <c r="AW91" i="1" s="1"/>
  <c r="AT92" i="1"/>
  <c r="AT93" i="1"/>
  <c r="AT94" i="1"/>
  <c r="AT95" i="1"/>
  <c r="AT96" i="1"/>
  <c r="AT97" i="1"/>
  <c r="AW13" i="1" l="1"/>
  <c r="AW28" i="1"/>
  <c r="AW42" i="1"/>
  <c r="AW65" i="1"/>
  <c r="AW57" i="1"/>
  <c r="AW49" i="1"/>
  <c r="AW9" i="1"/>
  <c r="AW82" i="1"/>
  <c r="AW66" i="1"/>
  <c r="AW78" i="1"/>
  <c r="AW70" i="1"/>
  <c r="AW54" i="1"/>
  <c r="AW46" i="1"/>
  <c r="AW47" i="1"/>
  <c r="AW23" i="1"/>
  <c r="AW15" i="1"/>
  <c r="AW94" i="1"/>
  <c r="AW71" i="1"/>
  <c r="AW55" i="1"/>
  <c r="AW39" i="1"/>
  <c r="AW31" i="1"/>
  <c r="AW7" i="1"/>
  <c r="AW50" i="1"/>
  <c r="AW34" i="1"/>
  <c r="AW40" i="1"/>
  <c r="AW8" i="1"/>
  <c r="AW26" i="1"/>
  <c r="AW18" i="1"/>
  <c r="AW10" i="1"/>
  <c r="AW96" i="1"/>
  <c r="AW88" i="1"/>
  <c r="AW81" i="1"/>
  <c r="AW74" i="1"/>
  <c r="AW58" i="1"/>
  <c r="AW72" i="1"/>
  <c r="AW41" i="1"/>
  <c r="AW33" i="1"/>
  <c r="AW25" i="1"/>
  <c r="AW17" i="1"/>
  <c r="AW63" i="1"/>
  <c r="AW48" i="1"/>
  <c r="AW24" i="1"/>
  <c r="AW68" i="1"/>
  <c r="AW36" i="1"/>
  <c r="AW12" i="1"/>
  <c r="AW86" i="1"/>
  <c r="AW80" i="1"/>
  <c r="AW85" i="1"/>
  <c r="AW90" i="1"/>
  <c r="AW76" i="1"/>
  <c r="AW53" i="1"/>
  <c r="AW45" i="1"/>
  <c r="AW37" i="1"/>
  <c r="AW29" i="1"/>
  <c r="AW2" i="1"/>
  <c r="AW97" i="1"/>
  <c r="AW89" i="1"/>
  <c r="AW67" i="1"/>
  <c r="AW95" i="1"/>
  <c r="AW87" i="1"/>
  <c r="AW73" i="1"/>
  <c r="AW79" i="1"/>
  <c r="AW60" i="1"/>
  <c r="AW93" i="1"/>
  <c r="AW92" i="1"/>
  <c r="AW84" i="1"/>
</calcChain>
</file>

<file path=xl/sharedStrings.xml><?xml version="1.0" encoding="utf-8"?>
<sst xmlns="http://schemas.openxmlformats.org/spreadsheetml/2006/main" count="1511" uniqueCount="939">
  <si>
    <t xml:space="preserve">No RM </t>
  </si>
  <si>
    <t xml:space="preserve">Nama </t>
  </si>
  <si>
    <t>BB/TB</t>
  </si>
  <si>
    <t xml:space="preserve">BSA </t>
  </si>
  <si>
    <t>Diagnosa</t>
  </si>
  <si>
    <t>Komplikasi</t>
  </si>
  <si>
    <t xml:space="preserve">Tgl MRS </t>
  </si>
  <si>
    <t>Stadium</t>
  </si>
  <si>
    <t>Subtipe tumor</t>
  </si>
  <si>
    <t>Jenis Tindakan</t>
  </si>
  <si>
    <t>Tanggal  tindakan</t>
  </si>
  <si>
    <t>Jenis Kemoterapi</t>
  </si>
  <si>
    <t>Tgl mulai kemoterapi</t>
  </si>
  <si>
    <t>Regimen kemoterapi</t>
  </si>
  <si>
    <t>Siklus</t>
  </si>
  <si>
    <t>Tanggal selesai kemoterapi</t>
  </si>
  <si>
    <t>Efek samping yang dialami</t>
  </si>
  <si>
    <t>Tanggal radiasi</t>
  </si>
  <si>
    <t>Dosis radiasi</t>
  </si>
  <si>
    <t>Siklus radiasi</t>
  </si>
  <si>
    <t>Tanggal selesai</t>
  </si>
  <si>
    <t>Efek samping</t>
  </si>
  <si>
    <t>Terapi hormon</t>
  </si>
  <si>
    <t>No</t>
  </si>
  <si>
    <t>6 Bulan setelah terapi</t>
  </si>
  <si>
    <t>Suripmi Tomo Harjono</t>
  </si>
  <si>
    <t>48 kg/150cm</t>
  </si>
  <si>
    <t>Ca Mammae dextra</t>
  </si>
  <si>
    <t>Hipertensi, nyeri sendi</t>
  </si>
  <si>
    <t>PT2N2Mx</t>
  </si>
  <si>
    <t xml:space="preserve">ER: positif
PR: positif 
HER2: Negatif (+1)
Ki67:indeks proliferasi +/- 70% (high) 
Luminal B HER2 Negatif </t>
  </si>
  <si>
    <t>MRM dextra</t>
  </si>
  <si>
    <t>Adjuvan</t>
  </si>
  <si>
    <t xml:space="preserve">Curacil (fluorouracil)  70 mg 
Cyclophosphamide 70 mg
Epirubicin  70 mg 
</t>
  </si>
  <si>
    <t>6 siklus dengan interval 3 minggu</t>
  </si>
  <si>
    <t>Neutropenia, batuk, lemas, pegal, mual</t>
  </si>
  <si>
    <t xml:space="preserve">25x2 Gy </t>
  </si>
  <si>
    <t>Radiodermatiti, Lecet pada are sinar</t>
  </si>
  <si>
    <t>tidak ada metastasis dan kekambuhan regional</t>
  </si>
  <si>
    <t>Tidak ada metastatis dan kekambuhan regional</t>
  </si>
  <si>
    <t xml:space="preserve">Aromatasin tab 25 mg , Examest tab 25 mg </t>
  </si>
  <si>
    <t>Rahayu Mispanti</t>
  </si>
  <si>
    <t>66kg/152cm</t>
  </si>
  <si>
    <t xml:space="preserve">Ca Mammae dextra </t>
  </si>
  <si>
    <t>Hipertensi grade 1</t>
  </si>
  <si>
    <t>pT3N1Mx</t>
  </si>
  <si>
    <t>ER: positive (+) 
PR: positive (+) 
Her2: Negatif (-) 
Ki67: indeks proliferasi +/- 10% (&lt;20%) 
Luminal B, HER2 Negatif</t>
  </si>
  <si>
    <t xml:space="preserve">Doxorubicin 70 mL  
Docetaxel 110 mL </t>
  </si>
  <si>
    <t>Anemia, neutropenia, merasa berkunang-kunang saat brexel masuk (obat di stop), kemudian ditangani dengn oksigen 3 lpm dexa dan diphen. Observasi 15 menit obat dilanjutkan</t>
  </si>
  <si>
    <t xml:space="preserve">Sinar ke 12: keluhan tenggorokan terasa sakit 
Sinar ke 20: ruam kemerahan, gatal, terdapat lesi bula di area sinar (dada) seperti luka bakar ringan 
Sinar ke 23: terdapat bula di area sinar (dada) 
Acute radiodermatitis
Edema dengan lengan kanan (bengkak tangan kanan spasme uppertrapezius spasme rhomboid) 
</t>
  </si>
  <si>
    <t>10 bulan setelah terapi: tidak ada metastasis dan kekambuhan regional.</t>
  </si>
  <si>
    <t>Tita Hidayati</t>
  </si>
  <si>
    <t>59 kg/ 157 cm</t>
  </si>
  <si>
    <t xml:space="preserve">Ca Mammae 
Metastasis limfonodi colli 
</t>
  </si>
  <si>
    <t xml:space="preserve">Hipertensi 
Gangguan fungsi liver 
</t>
  </si>
  <si>
    <t>pT4aN1aMx</t>
  </si>
  <si>
    <t>ER: positive (+) 
PR: negatif (-) 
HER2: Negatif (+1) 
Ki-67: indeks proliferasi +/- 70% (lebih dari 20%) 
Luminal B, HER2 Negatif</t>
  </si>
  <si>
    <t>MRM sinistra</t>
  </si>
  <si>
    <t xml:space="preserve">Docetaxel inj 80 mL  
Carboplatin inj 200 mL 
Epirubicin inj 100 mL 
</t>
  </si>
  <si>
    <t>8 siklus dengan interval 3 minggu</t>
  </si>
  <si>
    <t>Agranulositosis, neutropenia, anemia, nyeri neuropati, edema pada lengan kiri (kemoterapi ke-5)</t>
  </si>
  <si>
    <t xml:space="preserve">regio 1: 60x 2.4 Gy. Regio 2: 50+2 Gy . Regio 3 66Gy=2.2 Gy </t>
  </si>
  <si>
    <t xml:space="preserve">Pusing (sinar ke-19) 
Sakit kepala (sinar ke-20) 
Mulai lecet di area ketika (sinar ke-21) 
Anemia 
</t>
  </si>
  <si>
    <t>2 bulan setelah terapi: abdomen; tidak ada metastasis.   3 bulan setelah terapi: tidak ada metastasis pada thorax. 6 bulan setelah terapi: residif mass axilla dextra dan supraclavicular sinistra. tidak ada residif/residual pada massa dinding dada sinistra. fibroadenoma mammae dextra</t>
  </si>
  <si>
    <t>7 bulan setelah terapi:Tidak ada metastasis pada thorax. 9 bulan setelah terapi curiga metastasis dd choledocholithiasis. 9bulan setelah terapi tidak adametastasis pada thorax. 10 bulan setelah terapi: metastasis pankreas dan hati.</t>
  </si>
  <si>
    <t xml:space="preserve">Tamofen tab 10 mg  
Leuprolide acetace inj  3.75 mg 
</t>
  </si>
  <si>
    <t xml:space="preserve">Siamsih </t>
  </si>
  <si>
    <t>64 kg/153 cm</t>
  </si>
  <si>
    <t>Ca Mammae sinistra</t>
  </si>
  <si>
    <t xml:space="preserve">ER: positive/ (+) 
PR: positif/(+)
HER2: Negatif/ (0) 
Ki67: indeks proliferasi &gt;20% (+/_ 50%) 
Luminal B, HER2 negatif 
</t>
  </si>
  <si>
    <t>BCT  sinistra</t>
  </si>
  <si>
    <t xml:space="preserve">Doxorubicin 70 mg (50 mg/m2)
Docetaxel inj 110 mg (75mg/m2 )
</t>
  </si>
  <si>
    <t xml:space="preserve">6 siklus dengan interval 3 minggu </t>
  </si>
  <si>
    <t xml:space="preserve">Pusing, agranulocytosis, lemas, anemia </t>
  </si>
  <si>
    <t>25x2 Gy+ Booster 5x2 Gy</t>
  </si>
  <si>
    <t xml:space="preserve">Nyeri di bekas jahitan (sinar ke 9) 
Gatl-gatal (sinar ke 26) 
</t>
  </si>
  <si>
    <t xml:space="preserve">3 bulan setelah terapi: tidak adametastasis pada abdomen. 4 bulan setelah terapi tidak ada residual/residif massa pada mammae. 5 bulan setelah terapi tidak ada metastasis pada tulang.  </t>
  </si>
  <si>
    <t>9 bulan setelah terapi: tidak ada metastasis pada abdomen.   8 bulan setelah terapi: tidak ada residual/residif pada mammae.  sampai saat ini tidak ada metastasis baik dari prgan abdomen, mammae, dan tulang. pasien masih berobat hingga hari ini.</t>
  </si>
  <si>
    <t xml:space="preserve">Tamofen tab 10 mg 
Goserelin inj 3.6 mg 
</t>
  </si>
  <si>
    <t>Puji Mulyani</t>
  </si>
  <si>
    <t>48 kg/157 cm</t>
  </si>
  <si>
    <t>Anemia, hemiparesis sinistra</t>
  </si>
  <si>
    <t>pT3N2Mx</t>
  </si>
  <si>
    <t xml:space="preserve">ER: Negatif/ (-)
PR: negatif/ (-) 
HER2: Positive/ (+3)
Ki67: indeks proliferasi  +/- 10% (&lt;20%) 
</t>
  </si>
  <si>
    <t xml:space="preserve">Docetaxel inj 80 mL 
Carboplatin ferron inj 200 mL 
Epirubicin  inj 100 mL 
</t>
  </si>
  <si>
    <t>Mual muntah, lemas, anemia , agranulocytosis, neutropenia</t>
  </si>
  <si>
    <t xml:space="preserve">Nyeri telan (sinar ke 21) 
radiodermatitis
</t>
  </si>
  <si>
    <t xml:space="preserve">5 bulan setelah terapi: tidak ada metastasis pada thorax.  </t>
  </si>
  <si>
    <t>7 bulan setelah terapi: tidak ada residual/residif mass pada dinding mammae.  11 bulan setelah terapi; tidak ada metastasis pada abdomen. 12 bulan setelah terapi: tidak ada metastasis pada thorax, 14 bulan setelah terapi: tidak ada metastasis pada mammae, 16 bulan setelah terapi tidak ada metastasis pada abdomen, 18 bulan setelah terapi tidak ada metastasis pada tulang, 19 bulan setelah terapi ad ametastasis pada brain lobus frontal</t>
  </si>
  <si>
    <t>Marisih</t>
  </si>
  <si>
    <t>56kg/151 cm</t>
  </si>
  <si>
    <t>Hipertensi</t>
  </si>
  <si>
    <t>PT3N2MX</t>
  </si>
  <si>
    <t>ER: negatif/ (-)  
 PR: negatif/ (-) 
 HER2: Negatif/ (0)
 Ki-67: indeks proliferasi +/- 70%. Triple Negative</t>
  </si>
  <si>
    <t>MRM Sinistra</t>
  </si>
  <si>
    <t xml:space="preserve">Siklus 1-5
Doxorubicin inj 50 mg 
Cyclophosphamide inj 500 mg 
Siklus 6-8
Docetaxel inj 80 mg 
</t>
  </si>
  <si>
    <t>Anemia, agranulytosis</t>
  </si>
  <si>
    <t>31/4/2023</t>
  </si>
  <si>
    <t xml:space="preserve">Flaccid paraplegia (sinar ke 6) 
Nyeri telan (sinar ke 15) 
</t>
  </si>
  <si>
    <t>4 bulan setelah terapi: tidak ada metastasis pada abdomen</t>
  </si>
  <si>
    <t>Murwati</t>
  </si>
  <si>
    <t>50kg/146cm</t>
  </si>
  <si>
    <t>Ca Mammae  Sinistra</t>
  </si>
  <si>
    <t>Hipertensi, dislipidemia</t>
  </si>
  <si>
    <t>PT3N1M0</t>
  </si>
  <si>
    <t xml:space="preserve">ER: Positif/ (+) 
PR:  Positif/ (+)
HER2: Positif/ (+3)
Ki-67: indeks proliferasi +/- 80% 
Luminal B 
</t>
  </si>
  <si>
    <t xml:space="preserve">Siklus 1-4
Epirubicin (75 mg/m2) 100 mg 
cyclophosfamid (500 mg/m2) 600 mg 
Siklus ke 5
Paclitaxel inj 200 mg/mL
</t>
  </si>
  <si>
    <t xml:space="preserve">6  siklus dengan interval 3 minggu </t>
  </si>
  <si>
    <t xml:space="preserve">Anemia, agranulytosis, ketiak terasa kebas atau tebal </t>
  </si>
  <si>
    <t xml:space="preserve">Kencang diketiak (sinar ke-4) 
Ketiak terasa nyeri (sinar ke-19) 
Gatal pada area radiasi (sinar ke-24)  
</t>
  </si>
  <si>
    <t xml:space="preserve">2 bulan setelah terapi: tidak ada metastasis pada tulang dan metastasis pada abdomen, 3 bulan setelah terapi: tidak ada residual/residif massa pada dinding dada sinistra atau mammae serta tidak ada metastasis pada thorax. </t>
  </si>
  <si>
    <t>9 bulan setelah terapi: tidak ada residual/residif massa pada dinding sinistra dan dextra serta tidak ada metastasis pada abdomen, 10 bulan setelah terapi tidak ada metastasis pada tulang, 11 bulan setelah terapi: tidak ada residual/residif massa pada dinding dada sinistra dan dextra serta tidak ada metastasis pada abdomen. pasien masih kontrol hingga hari ini</t>
  </si>
  <si>
    <t>Dardah Wijayanti</t>
  </si>
  <si>
    <t>51 kg/152 cm</t>
  </si>
  <si>
    <t>Ca Mammae  Dextra</t>
  </si>
  <si>
    <t xml:space="preserve">ER: positif/ (+) 
PR: positif/ (+3) 
HER2: positif/ (+3) 
Ki67: indeks proliferasi &gt;20% (+/- 50%) Luminal B HER2 Positive
</t>
  </si>
  <si>
    <t xml:space="preserve">Carboplatin (175 mg/m2 ) 350 mg
Paclitaxel inj (300 mg/m2) 210 mL 
</t>
  </si>
  <si>
    <t>25x2 Gy + booster 5x2 Gy</t>
  </si>
  <si>
    <t xml:space="preserve">Mual (sinar ke-3) 
Mual (sinar ke-10)
Pusing dan mual (sinar ke-12,13)
Mual, susah BAB (sinar ke-19,20
Susah BAB, lengan kiri terasa kaku (sinar ke-25) 
Susah BAB (sinar ke 26,27)  
</t>
  </si>
  <si>
    <t>1 bulan setelah terapi: dicurigai isteoclastic tipe skeletal metastasis di os cranium, tetapi setelah dilakukan sidik tulang tidak ada tanda-tanda metastasis tulang,  2 bulan setelah terapi: tidak ada metastasis di abdomen, 3 bulan setelah terapi: small FAM mammae dextra, tidak ada residu/residif pada dinding dada sinistra</t>
  </si>
  <si>
    <t xml:space="preserve">7 bulan setelah terapi: tidak ada metastasis pada tulang, 8 bulan setelah terapi: haterogenosly fibroglandular breast, multiple lesi equal density superolateral dan ineromedial mammae dextra,  9 bulan setelah terapi: tidak ada metastasis pada tulang dan tidak ada metastasis pada abdomen, 10 bulan setelah terapi: multiple small FAM mammae dextra, tidak ada residu/residif pada dinding dada sinistra, 11 bulan setelah terapi: tidak ada metastasis pada abdomen, 12 bulan setelah terapi: small fibroadrenoma mammae dextra, tidak ada residu/residif pada dinding dada sinistra. pasien masih berobat hingga hari ini. </t>
  </si>
  <si>
    <t>Tamofen tab 10 mg Goserelin inj 3.6 mg</t>
  </si>
  <si>
    <t>Winarti</t>
  </si>
  <si>
    <t>52 kg/150 cm</t>
  </si>
  <si>
    <t>Anemia, hypoalbuminemia, hiponatremia</t>
  </si>
  <si>
    <t>PT3N1M1</t>
  </si>
  <si>
    <t xml:space="preserve">ER: Negatif/ (-) 
PR: Negatif/ (-) 
HER2: Negatif/ (0)
Ki67: indeks proliferasi &gt;20% (+/- 70%)  Triple Negatif
</t>
  </si>
  <si>
    <t>MRM Dextra</t>
  </si>
  <si>
    <t xml:space="preserve">Paclitaxel  (175mg/m2)200 mL 
Carboplatin (300mg/m2)  450 mL </t>
  </si>
  <si>
    <t>50x 2Gy + 10 x 0.4 Gy</t>
  </si>
  <si>
    <t xml:space="preserve">Luka diketiak kanan semakin meluas (sinar ke-8) 
Nyeri telan (sinar ke-11) 
Luka di ketiak semakin membesar, nyeri (sinar le 18) 
Demam (sinar ke 18)  
Luka di ketiak semakin melebar (sinar ke 20)
Luka di benjolan semakin membesar/ketiak (sinar ke 22) 
</t>
  </si>
  <si>
    <t xml:space="preserve">24 hari setelah terapi: soft tissue mass regio dinding hemithorax dextra, pulmo tidak ada kelainan, 1 bulan setelah terapi: residif mass di dinding dada dextra dengan malignansi dan snetral nekrotik, multiple nodal metastasis di axilla dextra, tidak ada kelainan pada mammae sinistra, </t>
  </si>
  <si>
    <t>6 bulan setelah terapi: pneumoni+nodular tipe pulmonal metastasis,  8 bulan setelah terapi: residif mass di dinding dada dextra dengan malignansi di dextra , 9 bulan setelah terapi: pasien mengalami metastasis paru</t>
  </si>
  <si>
    <t>Capecitabine 500 mg</t>
  </si>
  <si>
    <t>Etin Sukartini</t>
  </si>
  <si>
    <t>80 kg/158cm</t>
  </si>
  <si>
    <t>PT3N2aMx</t>
  </si>
  <si>
    <t xml:space="preserve">ER: Positif/ (+) 
PR: Positif/ (+) 
HER2: Negatif/ (0)
Ki67: indeks proliferasi (+/- 10%) 
Profil subtipe molekuler sesuai kategori Luminal A
</t>
  </si>
  <si>
    <t xml:space="preserve">Siklus 1-4                                                                                       Doxorubicin (50 mg/m2) 75 mg                                           cyclophosphamide  (500mg/m2) 750 mg                                              Siklus 5-6 Docetaxel (75 mg/m2) 100 mg </t>
  </si>
  <si>
    <t xml:space="preserve">8  siklus dengan interval 3 minggu </t>
  </si>
  <si>
    <t>Agranulocytosis</t>
  </si>
  <si>
    <t xml:space="preserve">50x2 Gy </t>
  </si>
  <si>
    <t xml:space="preserve">Tenggorokan gatal (sinar ke-8) 
Mual (sinar ke-10) 
Kulit lecet (sinar ke-24)  
</t>
  </si>
  <si>
    <t>16 hari setelah terapi: tidak ada metastasis pada tulang, 2 bulan setelah terapi: tidak ada residual/resdif mass pada mammae sinistra dan dextra, 3 bulan setelah terapi: tidak ada metastasis thorax dan tidak ada metastasis abdomen.</t>
  </si>
  <si>
    <t xml:space="preserve">6 bulan setelah terapi: tidak ada metastasis tulang, 8 bulan setelah terapi: fibroadenoma mammae dextra, tidak ada residual/residif mass pada sinistra, 12 bulan setelah terapi: multiple nodular tipe metastasis, massa mammae dextra meluas dinding hemithoraks dextra. </t>
  </si>
  <si>
    <t>48 kg/157cm</t>
  </si>
  <si>
    <t>Anemia, hemiplegia</t>
  </si>
  <si>
    <t>PT3N2Mx</t>
  </si>
  <si>
    <t xml:space="preserve">ER: Negatif/ (-) 
PR: Negatif/ (-) 
HER2: Positif/ (+3)
Ki67: indeks proliferasi (+/- 10%) Luminal A, HER 2 Positive 
</t>
  </si>
  <si>
    <t xml:space="preserve">Brexel (docetaxel)  80 mL 
Carboplatin 100 mL 
Epirubicin 200 mL 
</t>
  </si>
  <si>
    <t xml:space="preserve">Agranulocytosis, mual dan muntah (kemoterapi ke-1) 
Anemia 
</t>
  </si>
  <si>
    <t>Nyeri telan (sinar ke-21)</t>
  </si>
  <si>
    <t>1 bulan setelah terapi: tidak ada metastasis pada tulang, 4 bulan setelah terapi: tidak ada metastasis pada abdomen, 5 bulan setelah terapi: tidak ada metastasis pada thorax</t>
  </si>
  <si>
    <t>7 bulan setelah terapi: tidak ada residu/residif mass pada dinding dada dextra dan sinistra, 11 bulan setelah terapi: tidak ada metastasis pada abdomen, 12bulan setelah terapi: tidak ada metastasis pada thorax, 13 bulan setelah terapi: tidak ada residual/residif mass pada dinding dada dextra et sinistra, 15 bulan setelah terapi: tidak ada metastasis pada abdomen, 17 bulan setelah terapi: tidak ada metastasis pada tulang, 18 bulan setelah terapi: multiple brain metastasis pada lobus frontal bilateral.</t>
  </si>
  <si>
    <t>Sulastri</t>
  </si>
  <si>
    <t>40kg/140cm</t>
  </si>
  <si>
    <t>PT1aNxMx</t>
  </si>
  <si>
    <t xml:space="preserve">ER: positif/ (+) 
PR: positif/ (+) 
HER2: Negatif/ (+1) 
Ki67: indeks proliferasi +/- 30% (lebih dari 20%) 
Luminal B, HER2 negatif, Ki67 high 
</t>
  </si>
  <si>
    <t xml:space="preserve">docetaxel 80 mL
Cisplatin 50 mg 
</t>
  </si>
  <si>
    <t xml:space="preserve">Mual, lemes, agranulocytosis </t>
  </si>
  <si>
    <t>25x2 Gy (50 Gy) (regional) + 5x2 Gy (10 Gy) + ...x2.2 Gy (6.6 Gy)</t>
  </si>
  <si>
    <t xml:space="preserve">Bernanah, nyeri, mual  (sinar ke-9)
Sulit BAB (sinar ke-11) 
Bekas radiasi mengeluarkan cairan dan berbau (sinar ke-16) 
Mual (sinar ke-19) 
Berdarah tiap ganti perban (sinar ke 29)  
</t>
  </si>
  <si>
    <t xml:space="preserve">10 bulan setelah terapi: pneumonitis radiasi, 12 bulan setelah terapi: tidak ada pulmonal metastasis, 14 bulan setelah terapi: seroma axillaris dextra, tidak ada residual/resididf mass pada dinding dada dextra, fibroadenoma mammae sinistra, 16 bulan setelah terapi: tidak ada pulmonal metastasis, 18 bulan setelah terapi: fatty liver, myoma uteri, cholithiasis disertai cholecystitis tanpa cholestatis, 19 bulan setelah terapi: fibroadenoma mammae sinistra, limfonodi reactive axilla sinistra. </t>
  </si>
  <si>
    <t xml:space="preserve">Tamofen 10 mg  </t>
  </si>
  <si>
    <t>Tri Handar Rahmadani</t>
  </si>
  <si>
    <t>43 kg/155cm</t>
  </si>
  <si>
    <t>Ca Mammae Sinistra</t>
  </si>
  <si>
    <t>ER: Positif/ (+) 
 PR: Negatif/ (-) 
 HER2: Negatif/ (0)
 Ki67: indeks proliferasi (+/- 80%) 
 Luminal B, HER2 Negatif</t>
  </si>
  <si>
    <t xml:space="preserve">docetaxel 80 mL 
Carboplatin ferron inj 200 mL  
Epirubicin 100 mL  
</t>
  </si>
  <si>
    <t xml:space="preserve">Agranulocytosis, anemia </t>
  </si>
  <si>
    <t xml:space="preserve">Capek dan pegal di seluruh tubuh (sinar ke-6,7)
</t>
  </si>
  <si>
    <t>3 bulan setelah radiasi: tidak ada metastasis pada tulang</t>
  </si>
  <si>
    <t xml:space="preserve">6 bulan setelah terapi: tidak ada metastasis pada abdomen, 7 bulan setelah terapi: tidak ada metastasis pada thorax, 10 bulan setelah terapi: tidak ada residual/residif mass pada dinding dada dextra et sinistra, 14 bulan setelah terapi: simple cyst lobus dekstra hepar, tidak ada kelainan pada abdomen, 15 bulan setelah terapi: tidak ada metastasis pada thorax, 17 bulan setelah terapi: tidak ada residual/resididf mass pada dinding dada dextra et sinistra, 20 bulan setelah terapiL tidak ada metastasis pada abdomen, 23 bulan setelah terapi: tidak ada metastasis pada tulang, 24 bulan setelah terapi: multiple brain metastasis lobus frontal bilateral dan parietal bilateral. </t>
  </si>
  <si>
    <t xml:space="preserve">Suminem </t>
  </si>
  <si>
    <t>55 kg/152cm</t>
  </si>
  <si>
    <t xml:space="preserve">Ca Mammae  Dextra </t>
  </si>
  <si>
    <t xml:space="preserve">ER: Negatif/ (-) 
PR: Negatif/ (-) 
HER2: Negatif/ (0)
Ki67: indeks proliferasi (+/- 90%) 
Triple Negative
</t>
  </si>
  <si>
    <t xml:space="preserve">(siklus 1-3)                                                Doxorubicin 70 mg 
Brexel 110 mg  
Siklus 4-6
Doxorubicin 200 mL 
Paclitaxel 70 mL 
</t>
  </si>
  <si>
    <t>Agranulocytosis, anemia, dada sakit panas</t>
  </si>
  <si>
    <t xml:space="preserve">Tangan terasa kesemutan (sinar ke-3)
Kesemutan (sinar ke-6) 
Lengan kiri kadang terasa pegal dan kesemutan (sinar ke-8) 
Bahu dan lengan kiri terasa kesemutan (sinar ke-9) 
Terasa gatal di sela-sela jari (sinar ke-11) 
Leher gatal (sinar ke-25) 
</t>
  </si>
  <si>
    <t xml:space="preserve">1 bulan setelah terapi: tidak ada metastasis pada abdomen, 2 bulan setelah terapi: tidak ada residual/residif mass pada dinding dada dextra et sinistra, 3 bulan setelah terapi: tidak ada kelainan pada thorax, </t>
  </si>
  <si>
    <t xml:space="preserve">7 bulan setelah terapi: tidak ada residual/ residif mass pada dinding dada dextra et sinistra, 8 bulan setelah terapi: tidak ada metastasis pada abdomen, 15 bulan setelah terapi: tidak ada metastasis pada abdomen. </t>
  </si>
  <si>
    <t>Ruviyati</t>
  </si>
  <si>
    <t>60 kg/152cm</t>
  </si>
  <si>
    <t>pT3N0Mx</t>
  </si>
  <si>
    <t xml:space="preserve">ER: Positif/ (+) 
PR: Positif/ (+) 
HER2: Negatif/ (0)
Ki67: indeks proliferasi (+/- 60%) Luminal B, HER2 Negative 
</t>
  </si>
  <si>
    <t xml:space="preserve">Regimen AC (siklus 1-3)
Doxorubicin 80 mg
Endoxan (cyclophosphamide) inj 800 mg  
Siklus 4-6
Paclitaxel 200 mg  
</t>
  </si>
  <si>
    <t xml:space="preserve">Mual, muntah, tidak mau makan dan minum  </t>
  </si>
  <si>
    <t xml:space="preserve">Pegal(sinar ke-9)
Nyeri telan (sinar ke-19) 
Lecet di area radiasi (sinar ke-24)
</t>
  </si>
  <si>
    <t xml:space="preserve">1 bulan setelah terapi: tidak ada residual/residif mass pada dinding dada dextra et sinistra, 2 bulan setelah terapi: tidak ada metastasis pada tulang dan abdomen, </t>
  </si>
  <si>
    <t xml:space="preserve">6 bulan setelah terapi: tidak ada metastasis pada tulang, 7 bulan setelah terapi: tidak ada residual/resididf mass pada dinding dada sinistra, small fibroadenoma mammae dextra, 8 bulan setelah terapi: tidak ada metastasis pada abdomen, 12 bulan setelah terapi: tidak ada metastasis pada tulang, 14 bulan setelah terapi tidak ada residual/residif mass pada dinding dada sinistra, small fibroadenoma mammae dextra, 15 bulan setelah terapi: tidak ada metastasis pada abdomen, 18 bulan setelah terapi: tidak ada metastasis pada tulang,  22 bulan setelah terapi: tak tampak residif/residual mass pada dinding dada sinistra, multiple fibroadenoma mammae dextra, 24 bulan setelah terapi: tidak ada metastasis pada abdomen dan tulang. </t>
  </si>
  <si>
    <t xml:space="preserve">anastrazole 1 mg </t>
  </si>
  <si>
    <t>Rofiatul Wahidati</t>
  </si>
  <si>
    <t>58 kg/150cm</t>
  </si>
  <si>
    <t>PT2M1aMx</t>
  </si>
  <si>
    <t xml:space="preserve">ER: Negatif/ (-) 
PR: Negatif/ (-) 
HER2: Positif/ (+3) 
Ki67: indeks proliferasi (+/- 60%)  Luminal A, HER2 Positive
</t>
  </si>
  <si>
    <t xml:space="preserve">Cyclophosphamide inj 800 mg 
Doxorubicin inj 80 mL 
</t>
  </si>
  <si>
    <t xml:space="preserve">Agranulocytosis, anemia, batuk </t>
  </si>
  <si>
    <t xml:space="preserve">10x 3 Gy </t>
  </si>
  <si>
    <t xml:space="preserve">Radiodermatitis </t>
  </si>
  <si>
    <t>11 bulan setelah terapi: tidak ada residual/resisif mass pada dinding dada dextra et sinistra, 12 bulan setelah terapi metastasis pada tulang dan metastasis hepatal</t>
  </si>
  <si>
    <t>Tamofen tab 10 mg</t>
  </si>
  <si>
    <t>Sunarwijayati</t>
  </si>
  <si>
    <t>67 kg/163cm</t>
  </si>
  <si>
    <t>Low back pain</t>
  </si>
  <si>
    <t>CT4BN1Mx</t>
  </si>
  <si>
    <t>ER: positif/ (+) 
PR: Positif/ (-+ 
HER2: Negatif/ (+1)
Ki67: indeks proliferasi (+/- 50%) 
 Luminal B, HER2 Negative</t>
  </si>
  <si>
    <t xml:space="preserve">Regiemn AC (siklus 1-4)
Doxorubicin inj 100 mg 
Cyclophosphamide 1000 mg 
Siklus 5-8 
Paclitaxel 290 mL 
</t>
  </si>
  <si>
    <t xml:space="preserve">Mual, anemia, badan merah-merah, gatal  </t>
  </si>
  <si>
    <t xml:space="preserve">Susah BAB (sinar ke-8) 
Nyeri tenggorokan (sinar ke-12,13,15,19,25)
Area radiasi merah (sinar ke-24) 
</t>
  </si>
  <si>
    <t>1 bulan setelah terapi: tak tampak residual/resisid mass pada dinding dada sinistra</t>
  </si>
  <si>
    <t>6 bulan setelah terapi: tidak ada metastasis pada thorax, 7 bulan setelah terapi: metastasis pada tulang. pasien meninggal setelah 7 bulan terapi.</t>
  </si>
  <si>
    <t>Sumiyati</t>
  </si>
  <si>
    <t>60 kg/158cm</t>
  </si>
  <si>
    <t xml:space="preserve">ER: negatif/ (-) 
PR: negatif/ (-) 
HER2: Negatif/ (+0)
Ki67: indeks proliferasi (+/- 70%) 
</t>
  </si>
  <si>
    <t xml:space="preserve">Doxorubicin inj 70 mg
Paclitaxel inj 210 mg  
</t>
  </si>
  <si>
    <t xml:space="preserve">Agranulocytosis, tenggorokan sakit, nyeri pinggang </t>
  </si>
  <si>
    <t xml:space="preserve">Tenggorokan terasa sakit (sinar ke-11,12, 13,14,15,16,18,19,23) 
Nyeri pada bagian telinga (sinar ke-20)
Radiodermatitis 
</t>
  </si>
  <si>
    <t xml:space="preserve">10 bulan setelah terapi: tidak ada massa residu pada dada sinistra et dextra, 13 bulan setelah terapi: tidak ada metastasis pada abdomen, 14 bulan setelah terapi: tidak ada metastasis pada thorax, 21 bulan setelah terapi: tidak ada metastasis pada thorax, 24 bulan setelah terapi: lesi litik multiple humerus mengarah gambaran osteoclastic tipe metastasis. </t>
  </si>
  <si>
    <t xml:space="preserve">metotreksat tab 2.5 mg </t>
  </si>
  <si>
    <t>Sri Dwi Rahayu</t>
  </si>
  <si>
    <t>50 kg/150cm</t>
  </si>
  <si>
    <t>Ca Mammae  sinistra</t>
  </si>
  <si>
    <t>Dislipidemia</t>
  </si>
  <si>
    <t>pT2N1aMx</t>
  </si>
  <si>
    <t>ER: negative/ (-) 
PR: negative (-) 
HER2: Negatif/ (0)
Ki67: indeks proliferasi (+/- 40%) 
HER2 Negative</t>
  </si>
  <si>
    <t xml:space="preserve">MRM sinistra </t>
  </si>
  <si>
    <t xml:space="preserve">Adjuvan </t>
  </si>
  <si>
    <t xml:space="preserve">Carboplatin inj 450 mg 
Paclitaxel inj 210 mg 
</t>
  </si>
  <si>
    <t xml:space="preserve">Pusing, agranulocytosis, anemia </t>
  </si>
  <si>
    <t xml:space="preserve">Mual (sinar ke-19) 
Kulit kering dan pecah-pecah 
</t>
  </si>
  <si>
    <t>1 bulan setelah terapi: tidak ada metastasis pada thorax, 3 bulan setelah terapi: tidak ada metastasis pada abdomen, 4 bulan setelah terapi: tidak ada metastasis pada tulang, 5 bulan setelah terapi: tidak ada residual/resididf mass pada dinding dada dextra et sinistra</t>
  </si>
  <si>
    <t xml:space="preserve">7 bulan setelah terapi: tidak ada metastasis pada thorax, 11 bulan setelah terapi: tidak ada metastasis pada tulang dan abdomen, 13 bulan setelah terapi: tidak ada metastasis pada abdomen, 14 bulan setelah terapi: tidak ada metastasis pada abdomen, 15 bulan setelah terapi: tidak ada residual/residif mass pada dinding dada sinistra, simple cyst mammae dextra, 16 bulan setelah terapi: tidak ada metastasis pada tulang dan thorax, 21 bulan setelah terapi: tidak ada metastasis pada abdomen, 24 bulan setelah terapi: tidak ada residual/residif mass pada dinding dada dextra, sudah tdk tampak cyst mammae dextra </t>
  </si>
  <si>
    <t xml:space="preserve">Omdawati Binti Djabar   </t>
  </si>
  <si>
    <t>65 kg/158cm</t>
  </si>
  <si>
    <t xml:space="preserve">ER: negative/ (-) 
PR: negative (-) 
HER2: Positiff/ (0)
Ki67: indeks proliferasi (+/- 50%) HER2 Positive  
</t>
  </si>
  <si>
    <t xml:space="preserve">Carboplatin 200 mL 
Paclitaxel inj 450 mL 
</t>
  </si>
  <si>
    <t xml:space="preserve">Mual, pusing, tangan terasa gatal, agranulocytosis </t>
  </si>
  <si>
    <t xml:space="preserve">50x 2 Gy </t>
  </si>
  <si>
    <t xml:space="preserve">Mual (sinar ke-6)
Pusing, mual (sinar ke-23)  
</t>
  </si>
  <si>
    <t>1 bulan setelah terapi: tidak ada metastasis pada abdomen, tidak ada metastasis pada tulang</t>
  </si>
  <si>
    <t>8 bulan setelah terapi: tidak ada residif mass pada dinding dada sinistra et dextra, tidak ada metastasis pada abdomen, 9 bulan setelah terapi: tidak ada metastasis pada tulang, 12 bulan setelah terapi: tidak ada metastasis pada tulang, 13 bulan setelah terapi: tidak ada residual/resisif mass pada kedua dinding mammae, 16 bulan setelah terapi: tidak ada metastasis pada abdomen, 17 bulan setelah terapi: tidak ada metastasis pada tulang, 21 bulan setelah terapi: tidak ada residual/resididf mass pada kedua dinding dada, 22 bulan setelah terapi: tidak ada metastasis pada thorax/pulmonal.</t>
  </si>
  <si>
    <t>Sri Miyarsih</t>
  </si>
  <si>
    <t>66 kg/150cm</t>
  </si>
  <si>
    <t xml:space="preserve">ER: negative/ (-) 
PR: negative (-) 
HER2: Negatif/ (0)
Ki67: indeks proliferasi (+/- 40%) HER2 Negative 
</t>
  </si>
  <si>
    <t xml:space="preserve">Docetaxel 100 mL
Epirubicin inj  100 mL  
</t>
  </si>
  <si>
    <t xml:space="preserve">Agranulocytosis  </t>
  </si>
  <si>
    <t xml:space="preserve">60x2gy </t>
  </si>
  <si>
    <t xml:space="preserve">Nyeri tenggorokan (sinar ke 14) 
Nyer tenggorokan, batuk pilek (sinar ke-15)
Kering di area radiasi  
</t>
  </si>
  <si>
    <t>2 bulan setelah terapi: tidak ada residual/residif mass pada dinding dada sinistra et dextra, 3 bulan setelah terapi: pneumonia bilateral, 5 bulan setelah terapi: tidak ada residif mass pada dinding dada sinistra et dextra</t>
  </si>
  <si>
    <t xml:space="preserve">6 bulan setelah terapi: tidak ada metastasis pada tulang, 7 bulan setelah terapi: tidak ada kelainan pada abdomen, 8 bulan setelah terapi: tidak ada metastasis pada tulang, 12 bulan setelah terapi: tidak ada residual/resididf mass pada dinding dada sinistra et dextra, 14 bulan setelah terapi: brochitis, tak tampak pulmonal metastasis,  18 bulan setelah terapi: tak tampak residual/residif mass pada dinding dada sinistra et dextra, 19 bulan setelah terapi: pneumonia bilateral, 21 bulan setelah terapi: bronchitis, 24 bulan setelah terapi: tidak ada kelainan pada abdomen. </t>
  </si>
  <si>
    <t>Suminah</t>
  </si>
  <si>
    <t>65 kg/157cm</t>
  </si>
  <si>
    <t xml:space="preserve">Fatty Liver </t>
  </si>
  <si>
    <t>ER: Negative/ (-) 
 PR: Negative (-) 
 HER2: Positif/ (+3)
 Ki67: indeks proliferasi (+/- 70%).   HER2 Positive</t>
  </si>
  <si>
    <t xml:space="preserve">Docetaxel 100 mL  
Doxorubicin 60 mL  
</t>
  </si>
  <si>
    <t xml:space="preserve">Mudah lelah, agranulocytosis </t>
  </si>
  <si>
    <t xml:space="preserve">50x2Gy </t>
  </si>
  <si>
    <t xml:space="preserve">Diare 4x (sinar ke-13) 
Gatal diarea sinar (sinar ke-17) 
Nyeri telan (sinar ke-22) 
Radiodermatitis    
</t>
  </si>
  <si>
    <t xml:space="preserve">1 bulan setelah terapi: seroma infrasutura dan suprasutura axillary tail sinistra, edema soft tissue suprasutura dan infrasutura dinding dada sinistra, tidak ada residif/residual mass pada dinding dada dextra et sinistra,  2 bulan setelah terapi: tidak ada residual/resididf mass pada dinding dada sinistra et dextra terdapat fatty liver tidak ada metastasis pada abdomen. </t>
  </si>
  <si>
    <t xml:space="preserve">6 bulan setelah terapi: tidak ada metastasis pada thorax, 11 bulan setelah terapi: tidak ada residual/resisid mass pada dinding dada sinistra et dextra dan tidak ada kelainan pada abdomen. </t>
  </si>
  <si>
    <t>Sumanah</t>
  </si>
  <si>
    <t>66 kg/155cm</t>
  </si>
  <si>
    <t xml:space="preserve">ER: Positif/ (+) 
PR: Positif (+) 
HER2: Negatif/ (0)
Ki67: indeks proliferasi +/- 5% (&lt;20%).        HER2 Negative 
</t>
  </si>
  <si>
    <t xml:space="preserve">Docetaxel 100 mL 
Epirubicin 100 mL 
</t>
  </si>
  <si>
    <t xml:space="preserve">50x2 Gy + booster 10x2 Gy </t>
  </si>
  <si>
    <t xml:space="preserve">Radiodermatitis  </t>
  </si>
  <si>
    <t>1 bulan setelah terapi: tidaka ada kelainan pada abdomen</t>
  </si>
  <si>
    <t xml:space="preserve">9 bulan setelah terapi: tidak tampak residual/resididf mass pada dinding dada dextra et sinistra. </t>
  </si>
  <si>
    <t>Anastrazole 1 mg</t>
  </si>
  <si>
    <t>Dwi Purwanti</t>
  </si>
  <si>
    <t>54 kg/158cm</t>
  </si>
  <si>
    <t xml:space="preserve">Ca Mammae  dextra </t>
  </si>
  <si>
    <t xml:space="preserve">ER: positif / (+) 
PR:   positif / (+)
HER2:Positif /(+3) 
Ki-67: indeks proliferasi +/- 30%       Luminal B, HER 2 Positive
</t>
  </si>
  <si>
    <t xml:space="preserve">cylophosphamide 860 g             Doxorubicin 86 mL 
</t>
  </si>
  <si>
    <t>Radiodermatitis</t>
  </si>
  <si>
    <t xml:space="preserve">8 bulan setelah terapi: tidak ada metastasis pulmonal, 9 bulan setelah terapi: tampak metastasis tulang pada proyeksi OS costase II dan IV, 11 bulan setelah terapi: metastasis tulang. </t>
  </si>
  <si>
    <t>Laila Dewi Maria</t>
  </si>
  <si>
    <t>63 kg/150cm</t>
  </si>
  <si>
    <t>Ca Mammae bilateral</t>
  </si>
  <si>
    <t>pT2N0Mx</t>
  </si>
  <si>
    <t xml:space="preserve">ER: Negatif / (-) 
PR:   Negatif / (-)
HER2:Negatif /(0) 
Ki-67: indeks proliferasi +/- 80%.        Triple Negative 
</t>
  </si>
  <si>
    <t>MRM bilateral</t>
  </si>
  <si>
    <t xml:space="preserve">Docetaxel 60 mL  
Carboplatin 1200 mL 
Epirubicin 80 mL 
</t>
  </si>
  <si>
    <t xml:space="preserve">8 siklus dengan interval 3 minggu </t>
  </si>
  <si>
    <t xml:space="preserve">Agranulocytosis, anemia  </t>
  </si>
  <si>
    <t xml:space="preserve">Nyeri telan
Mual (sinar ke-24) 
</t>
  </si>
  <si>
    <t>1 bulan setelah terapi: seroma pada regio axilla dextra dan axillary tail sinistra, tidak tampak residif mass pada dinding dada dextra et sinistra, 2 bulan setelah terapi: levoskoliolisis lumbales, tidak ada metastasis pada tulang, 3 bulan setelah terapi: tidak ada kelainan pada abdomen dan tidak ada metastasis pada tulang</t>
  </si>
  <si>
    <t xml:space="preserve">6 bulan setelah terapi: tidak ada metastasis pulmonal, 7 bulan setelah terapi: terdapat seroma pada regio axilla dextra dan axillary tail sinistra, tidak tampak residual/residif mass dextra et sinistra, 9 bulan setelah terapi: tidak ada kelainan pada abdomen, 13 bulan setelah terapi: tidak ada pulmonal metastasis, 14 bulan setelah terapi: seroma pada regio axilla dextra dan axillary tail sinistra,  18 bulan setelah terapi: tidak ada kelainan pada abdomen, 19 bulan setelah terapi: tidak ada metastasis pada tulang, 21 bulan setelah terapi: tidak ada metastasis pada tulang, 22 bulan setelah terapi: tidak tampak residual/resisidf mass pada dinding dada dextra et sinistra, 23 bulan setelah terapi: tidak tampak skeletal metastasis, 24 bulan setelah terapi: tidak tampak pulmonal metastasis. </t>
  </si>
  <si>
    <t>Parinem</t>
  </si>
  <si>
    <t>79 kg/157cm</t>
  </si>
  <si>
    <t xml:space="preserve">Fatty liver </t>
  </si>
  <si>
    <t>T3N2M0</t>
  </si>
  <si>
    <t xml:space="preserve">ER: Positif/ (+)  
PR:  Positif/ (+)  
HER2:Negatif /(0) 
Ki-67: indeks proliferasi +/- 5% 
</t>
  </si>
  <si>
    <t xml:space="preserve">(siklus 1-4)
cyclophosphamide 800 mg 
Epirubicin 100 mg 
(siklus 5-6) 
Paclitaxel200 mg  Epirubicin 200 mg 
</t>
  </si>
  <si>
    <t xml:space="preserve">25x2 Gy (50 Gy) </t>
  </si>
  <si>
    <t xml:space="preserve">Lengan kiri bengkak (sinar ke-8) 
Gatal seluruh badan (sinar ke-10)
Gatal di area sinar, batuk, pilek (sinar ke-13) 
Gatal (sinar ke-18,20) 
</t>
  </si>
  <si>
    <t>1 bulan setelah terapi: tak tampak residual/residif mass pada dinding dada dextra et sinistra, 2 bulan setelah terapi fatty liver, tidak ada metastasis pada abdomen</t>
  </si>
  <si>
    <t>7 bulan setelah terapi: tidak ada residual/resididf mass pada dinding dada dextra, 8 bulan setelah terapi tidak ada metastasis pada abdomen, 11 bulan setelah terapi: metastasis osteoblastic</t>
  </si>
  <si>
    <t>Goserelin inj 3.6 mg</t>
  </si>
  <si>
    <t>Enita Damopoli</t>
  </si>
  <si>
    <t>60kg/168cm</t>
  </si>
  <si>
    <t>T4CN1Mx</t>
  </si>
  <si>
    <t xml:space="preserve">ER: Negative/ (-)  
PR:  Negative/ (-)  
HER2:Positif /(+3) 
Ki-67: indeks proliferasi +/- 60% 
</t>
  </si>
  <si>
    <t xml:space="preserve">Brexel (docetaxel) 80 mL
Carboplatin200 mL 
Epirubicin 100 mg/5 mL    
</t>
  </si>
  <si>
    <t xml:space="preserve">Kulit merah dan perih (sinar ke 20)  
Radiodermatitis 
</t>
  </si>
  <si>
    <t xml:space="preserve">1 bulan sesudah terapi: tidak ada residual/resididf mass pada dinding dada sinistra et dextra, tidak ada metastasis pada thorax, 3 bulan setelah terapi: fatty liver, tidak ada kelainan pada abdomen, </t>
  </si>
  <si>
    <t xml:space="preserve">6 bulan setelah terapi: tidak ada residual/resididf mass pada dinding dada sinistra, 9 bulan setelah terapi: tidak ada metastasis pada pulmonal dan tidak ada metastasis pada abdomen, tidak ada metastasis pada tulang, 16 bulan setelah terapi: tidak ada metastasis pada tulang. </t>
  </si>
  <si>
    <t>55kg/152cm</t>
  </si>
  <si>
    <t>Fatty liver grade 1</t>
  </si>
  <si>
    <t>T3N0Mx</t>
  </si>
  <si>
    <t>ER: Positif/ (+)  
 PR: Positif/ (+) 
 HER2:Negatif/(0)       
 Ki-67: indeks proliferasi +/- 10%                   Luminal A, HER2 Positive</t>
  </si>
  <si>
    <t xml:space="preserve">Doxorubicin 50 mL 
Docetaxel 80 mL 
Docetaxel 20 mL 
</t>
  </si>
  <si>
    <t>25x2 Gy (50 Gy)+ booster 5x2 Gy (10Gy)</t>
  </si>
  <si>
    <t>Sulit menelan (sinar ke-14)</t>
  </si>
  <si>
    <t>5 hari setelah terapi: fibrocystic change pada mammae sinistra, tidak ada residual/resididf mass pada dinding dada sinistra, 4 bulan setelah terapi: tidak ada kelainan pada abdomen dan metastasis pada tulang, 5 bulan setelah terapi: tidak ada metastasis pulmonal</t>
  </si>
  <si>
    <t>9 bulan setelah terapi: penebalan dinding uterus, tidak ada kelainan pada abdomen, 10 bulan setelah terapi: fibrocystic mammae sinistra, tidak ada residual/resididf mass pada dinding dada dextra. 11 bulan setelah terapi: fibrocystic changes mammae sinistra, tidak tampak residu/resididf mammae dextra, 12 bulan setelah terapi: fatty liver grade 1, penebalan dinding uterus, tidak ada metastasis pada abdomen</t>
  </si>
  <si>
    <t>Yulian Subandiyantini</t>
  </si>
  <si>
    <t>64kg/155cm</t>
  </si>
  <si>
    <t>T4bN1aMx</t>
  </si>
  <si>
    <t xml:space="preserve">ER: Negative/ (-)  
PR:  Negative/ (-)  
HER2:Negatif/(0) 
Ki-67: indeks proliferasi +/- 85% 
Triple Negative
</t>
  </si>
  <si>
    <t xml:space="preserve">Docetaxel 110 mL 
Doxorubicin 70 mg 
</t>
  </si>
  <si>
    <t xml:space="preserve">Nafsu makan menurun, badan terasa sakit, mual (sinar ke-15) 
Nyeri di area radiasi (sinar ke-16) 
Badan terasa ngilu, nyeri telan, sakit kepala (sinar ke-22)    
</t>
  </si>
  <si>
    <t xml:space="preserve">1 bulan setelah terapi: tidak tampak residual/resididf mass pada dinding dada dextra et sinistra dan tidak ada metastasis abdomen, </t>
  </si>
  <si>
    <t>7 bulan setelah terapi: tidak tampak kelainan pulmonal, 9 bulan setelah terapi: tidak tampak kelainan pada wrist joint sinistra, 10 bulan setelah terapi: tidak tampak residual/resididf mass pada dinding dada dextra et sinistra, 14 bulan setelah terapi: tidak ada metastasis pada pulmonal</t>
  </si>
  <si>
    <t xml:space="preserve">Metotraksat tab 2.5 mg     </t>
  </si>
  <si>
    <t>Tri Purwanto</t>
  </si>
  <si>
    <t>36kg/150cm</t>
  </si>
  <si>
    <t>pT3N2AM0</t>
  </si>
  <si>
    <t xml:space="preserve">ER: Positif/ (+)  
PR:   Positif/ (+)  
HER2:Negatif/(0) 
Ki-67: indeks proliferasi +/- 50%         Luminal B, HER2 Negative
</t>
  </si>
  <si>
    <t xml:space="preserve">Nyeri menelan (sinar ke-13) 
Gatal di area dada (sinar ke-18) 
Kulit terasa gatal (sinar ke-21)    
Kulit terasa perih (sinar ke-29) 
</t>
  </si>
  <si>
    <t>2 bulan setelah terapi: tidak tampak residual/resididf mass pada dinding dada sinistra et dextra, 5 bulan setelah terapi: tidak tampak residual/resididf mass pada dinding dada sinistra et dextra</t>
  </si>
  <si>
    <t xml:space="preserve">7 bulan setelah terapi: pneumonitis sinistra curiga pneumonic type pulmonal metastasis, 8 bulan setelah terapi: tidak ada metastasis abdomen, 9 bulan setelah terapi: fibrosis segmen anterior lobus superior pulmo bilateral mengarah gambaran pneumonitis radiasi, tidak ada residual/residif mass pada dinding dada sinistra, 10 bulan setelah terapi: tidak ada metastasis pada tulang, 11 bulan setelah terapi: tak tampak residual/resididf mass pada dinding dada sinistra, 12 bulan setelah terapi: pneumonia sinistra cuirga pneumonic type metastasis. </t>
  </si>
  <si>
    <t xml:space="preserve">Metotraksat tab 2.5 mg  </t>
  </si>
  <si>
    <t>Sri Haryanti</t>
  </si>
  <si>
    <t>67kg/157cm</t>
  </si>
  <si>
    <t>T1bN2aMx</t>
  </si>
  <si>
    <t xml:space="preserve">ER: Positif/ (+)  
PR:   Positif/ (+)  
HER2:Positif/(+1) 
Ki-67: indeks proliferasi +/- 30%.   Luminal B, HER2 Negative  
</t>
  </si>
  <si>
    <t xml:space="preserve">Carboplatin 200 mL 
Docetaxel  80 mL 
Epirubicin  100 mL 
</t>
  </si>
  <si>
    <t xml:space="preserve">Agranulocytosis, anemia , mual </t>
  </si>
  <si>
    <t xml:space="preserve">Kaku (sinar ke-4) 
Ektermitas atas sebelah kanan terasa kaku (sinar ke-6) 
Nyeri dan terasa panas di tenggorokan (Sinar ke-9) 
BAB terasa keras, bekas penyinara terasa nyeri, batuk berdahak (sinar ke-24)  
</t>
  </si>
  <si>
    <t>1 bulan setelah terapi: tidak ada kelainan pada abdomen, 2 bulan setelah terapi: tidak tampak residual/residif mass pada dinding dada dextra, 6 bulan setelah terapi: tidak ada metastasis pada tulang</t>
  </si>
  <si>
    <t xml:space="preserve">9 bulan setelah terapi: tidak tampak residual/resididf mass pada dinding dada dextra. </t>
  </si>
  <si>
    <t xml:space="preserve">Tamofen tab 10 mg 
Endrolin 3.75 mg      
</t>
  </si>
  <si>
    <t>Tukiyem</t>
  </si>
  <si>
    <t>53kg/151cm</t>
  </si>
  <si>
    <t>pT1NxMx</t>
  </si>
  <si>
    <t xml:space="preserve">ER: Positif/ (+)  
PR:   Negative/ (-)  
HER2:Negatif/(0) 
Ki-67: indeks proliferasi +/- 65%.      Luminal B, HER2 Negative  
</t>
  </si>
  <si>
    <t>20/1/2022 dan  9/8/2022</t>
  </si>
  <si>
    <t xml:space="preserve">9/3/2022  dan  17/10/2022   </t>
  </si>
  <si>
    <t xml:space="preserve">Paclitaxel 150 mL 
Doxorubicin 50 mL 
Cisplatin 50 mg 
</t>
  </si>
  <si>
    <t xml:space="preserve">20/7/2022 dan  23/2/2023    </t>
  </si>
  <si>
    <t>Agranulocytosis, anemia</t>
  </si>
  <si>
    <t xml:space="preserve">15x 2 Gy (60 Gy) </t>
  </si>
  <si>
    <t>2 bulan setelah terapi: tidak tampak residual/residif mass pada dinding dada sinistra et dextra, 5 bulan setelah terapi: tidak tampak residual/resididf mass pada dinding dada sinistra et dextra.</t>
  </si>
  <si>
    <t xml:space="preserve">7 bulan setelah terapi: pneumonitis sinistra curiga pneumonic type pulmonal metastasis, 10 bulan setelah terapi: tidak ada kelainan pada abdomen, 11 bulan setelah terapi: fibrosis segmen anterior lobus superior pulmo bilateral mengarah gambaran pneumonitis radiasi dan tidak ada tampak residual/resididf mass pada dinding dada sinistra et dextra, 13 bulan setelah terapi: tidak ada metastasis pada tulang, 14 bulan setelah terapi: tidak tsmpak residual/residif mass pada dinding dada sinistra, 15 bulan setelah terapi: pneumonic sinistra curiga pneumoic type metastasis, 16 bulan setelah terapi: tidak ada kelainan pada abdomen, 17 bulan setelah terapi: fibrosis dan konsolidasi di pulmo bilateral mengarah gambaran pneumonitis radiasi, 18 bulan setelah terapi: tidaktampak residual/residif mass pada dinding dada sinistra et dextra. </t>
  </si>
  <si>
    <t xml:space="preserve">Tamoxifen tab 10 mg 
Goserelin acetate inj 3.6 mg/vial      
</t>
  </si>
  <si>
    <t>Wagiyem</t>
  </si>
  <si>
    <t>53kg/147cm</t>
  </si>
  <si>
    <t xml:space="preserve">Leg pain </t>
  </si>
  <si>
    <t>T2N2Mx</t>
  </si>
  <si>
    <t xml:space="preserve">ER: Positif/ (+)  
PR:   Positif/ (+)  
HER2:Negatif /(0) 
Ki-67: indeks proliferasi +/- 40% 
Lumina B, HER2 Positive 
Ki67 High 
</t>
  </si>
  <si>
    <t xml:space="preserve">(siklus 1-4)
Doxorubicin (50mg/m2) 75mL 
Cyclophosphamide (500 mg/m2)  750 g 
(siklus 5-8) 
Docetaxel (75mg/m2) 90 mL 
</t>
  </si>
  <si>
    <t>Agranulocytosis, anemia , lemas</t>
  </si>
  <si>
    <t xml:space="preserve">25x2 Gy (50 Gy)+ booster 6x 0.24 Gy </t>
  </si>
  <si>
    <t xml:space="preserve">Lemas (sinar ke-20)   </t>
  </si>
  <si>
    <t>2 bulan setelah terapi: tidak tampak kelainan pada abdomen, 3 bulan setelah terapi: tidak tampak residual/resididf mass pada dinding sinistra et dextra, 5 bulan setelah terapi: tak tampak pulmonal metastasis</t>
  </si>
  <si>
    <t xml:space="preserve">10 bulan setelah terapi: tak tampak gambaran metastasis, infrak maupun perdarahan, 12 bulan setelah terapi: tak tampak residual/resididf  mass pada dinding dada sinistra et dextra, 13 bulan setelah terapi: tidak tampak pulmonal metastasis,  16 bulan setelah terapi: tidak tampak metastasis tulang. </t>
  </si>
  <si>
    <t xml:space="preserve">Anastrazole tab 1 mg       </t>
  </si>
  <si>
    <t>Partinah</t>
  </si>
  <si>
    <t>70 kg/155cm</t>
  </si>
  <si>
    <t>T2N0M0</t>
  </si>
  <si>
    <t xml:space="preserve">ER: Negatif/ (-)  
PR: Negatif/ (-)  
HER2:Negatif/(0) 
Ki-67: indeks proliferasi +/- 90% 
Lumina B, HER2 Positive 
Ki67 High 
</t>
  </si>
  <si>
    <t xml:space="preserve">(siklus 1-4)
Doxorubicin (50 mg/m2) 80 mL 
Cyclophosphamide (500 mg/m2)  800 mg 
(siklus 5-6)Docetaxel 75mg/m2 (40 mg). siklus (7-8) Paclitaxel 200 mg   
</t>
  </si>
  <si>
    <t xml:space="preserve">Badan terasa lemas (sinar ke-15) 
Lecet ketiak kiri (sinar ke 30) 
Kemerahan di area sinar (sinar ke 26)     
</t>
  </si>
  <si>
    <t>1 bulan setelah terapi: tak tampak residual/resididf mass pada dinding dada sinistra et dextra dan tidak ada kelainan pada abdomen, 2 bulan setelah terapi: tidak ada pulmonal metastasis dan tidak ada metastasis tulang.</t>
  </si>
  <si>
    <t xml:space="preserve">7 bulan setelah terapi: tidak tampak residual/resididf mass pada dinding dada sinistra et dextra, 8 bulan setelah terapi: tidak tampak metastasis abdomen, 10 bulan setelah terapi: lesi hipodens mammae dextra, tak tampak residual/resisidf mass pada dinding dada sinistra, 11 bulan setelah terapi: tak tampak pulmonal metastasis, 13 bulan setelah terapi: tidak tampak pulmonal metastasis, 14 bulan setelah terapi: tak tampak pulmonal metastasis. </t>
  </si>
  <si>
    <t>Erna Fatmawati</t>
  </si>
  <si>
    <t>57 kg/163cm</t>
  </si>
  <si>
    <t>pT1aN1aMx</t>
  </si>
  <si>
    <t xml:space="preserve">ER: Positif/ (+)  
PR: Positif/ (+)  
HER2:Negatif/(0) 
Ki-67: indeks proliferasi +/- 40% 
Luminal B, Her2 negatif 
</t>
  </si>
  <si>
    <t xml:space="preserve">(siklus 1-5)
Doxorubicin 80 mL 
Cyclophosphamide 800 mg
(siklus 6) 
Docetaxel 100 mL   
</t>
  </si>
  <si>
    <t xml:space="preserve">Tangan terasa kebas (sinar ke-11) 
Kulit kehitaman (sinar ke-27)       
</t>
  </si>
  <si>
    <t>1 bulan setelah terapi: tidak ada kelainan pada abdomen dan tak tampak residual /residif mass pada dinding dada sinistra, 4 bulan setelah terapi: metastasis pada tulang.</t>
  </si>
  <si>
    <t>Wahyu Basari</t>
  </si>
  <si>
    <t>50kg/150cm</t>
  </si>
  <si>
    <t>pT1aN2aMx</t>
  </si>
  <si>
    <t xml:space="preserve">ER: Positif/ (+)  
PR: Negative/ (-)  
HER2:Negative/(0) 
Ki-67: indeks proliferasi +/- 30% 
Luminal B, Her2 negatif 
</t>
  </si>
  <si>
    <t xml:space="preserve">Carboplatin 200 mL 
Docetaxel  80 mL 
Epirubicin 5mL  
</t>
  </si>
  <si>
    <t xml:space="preserve">5 siklus dengan interval 3 minggu </t>
  </si>
  <si>
    <t>25 x2 gy (50 Gy)</t>
  </si>
  <si>
    <t xml:space="preserve">Gatal diarea leher sebelah kanan, pusing, mual (sinar ke-24)        </t>
  </si>
  <si>
    <t>1 bulan setelah terapi: tak tampak pulmonal metastasis, 4 bulan yang lalu: tak tampak kelainan abdomen, 5 tahun yang lalu: tidak ada metastasis tulang</t>
  </si>
  <si>
    <t xml:space="preserve">7 bulan setelah terapi: tidak ada metastasis pada pulmonal, 8 bulan setelah terapi: tidak tampak residual/resisidf mass pada dinding dada dextra et sinistra, 11 bulan setelah terapi: nodul pulmo dextra suspek nodular type pulmonal metastasis, pneumonitis radiasi, 16 bulan setelah terapi: tak tampak residual.resididf mass pada dinding dada dextra et sinistra. </t>
  </si>
  <si>
    <t xml:space="preserve">Tamofen tab 10 mg 
Leuproin asetat inj 3.75 mg 
</t>
  </si>
  <si>
    <t xml:space="preserve">Ratna Fitri Wulansari </t>
  </si>
  <si>
    <t>63kg/154cm</t>
  </si>
  <si>
    <t xml:space="preserve">Ca Mammae sinistra  </t>
  </si>
  <si>
    <t xml:space="preserve">PT3N3aMx </t>
  </si>
  <si>
    <t xml:space="preserve">ER: Positif/ (+)  
PR:  Positif/ (+)  
HER2:Negative/(+1) 
Ki-67: indeks proliferasi +/- 80% 
Luminal B, Her2 negatif 
</t>
  </si>
  <si>
    <t xml:space="preserve">Doxorubicin (50mg/m2) 80 mg 
Cyclophosphamide (500mg/m2) 800 mg 
Docetaxel (75mg/m2)  100 mg
</t>
  </si>
  <si>
    <t xml:space="preserve">Agranulocytosis, anemia. </t>
  </si>
  <si>
    <t>2 bulan setelah terapi: tidak tampak residu/residif mass pada dinding dada sinistra et dextra, 3 bulan setelah terapi: tidak ada kelainan pada abdomen, 4 bulan setelah terapi: tidak ada kelainan pada thorax.</t>
  </si>
  <si>
    <t>9 bulan setelah terapi: tidak tampak metastasis pada tulang, 10 bulan setelah terapi: tidak tampak residual/resididf mass pada dinding dada sinistra et dextra, 11 bulan setelah terapi: tidak ada kelainan pada abdomen, 12 bulan setelah terapi tidak tampak metastasis pada thorax, 13 bulan setelah terapi: tidak ada residu/residif mass pada mammae bilateral.</t>
  </si>
  <si>
    <t xml:space="preserve">Tamofen tab 10 mg 
Goserelin acetate inj 3.6 mg   
</t>
  </si>
  <si>
    <t xml:space="preserve">Kusmiyanti  </t>
  </si>
  <si>
    <t>65kg/148cm</t>
  </si>
  <si>
    <t xml:space="preserve">ER: Positif/ (+)  
PR:  Negatif/ (-)  
HER2:Negative/(+1) 
Ki-67: indeks proliferasi +/- 20% 
Luminal A, Her2 negatif 
</t>
  </si>
  <si>
    <t xml:space="preserve">Doxorubicin (50mg/m2) 80 mg 
Cyclophosphamide (500mg/m2) 800 mg 
Docetaxel (75mg/m2)  120 mg
</t>
  </si>
  <si>
    <t>radiodermatitis</t>
  </si>
  <si>
    <t>1 bulan setelah terapi: fibrosis mammae dextra, tidak ada residu/resididf mass pada dinding dada sinisrra, tidak ada metastasis pada tulang, 2 bulan setelah terapi: tidak ada kelainan pada abdomen, 3 bulan setelah terapi: tidak ada metastasis pulmonal.</t>
  </si>
  <si>
    <t xml:space="preserve">9 bulan setelah terapi: tidak tampak skeletal metastasis, 10 bulan setelah terapi: tidak tampak residu/residif mass pada dinding dada sinistra, 11 bulan setelah terapi: tidak tampak kelainan pada abdomen, 12 bulan setelah terapi: tidak tampak pulmonal metastasis, 17 bulan setelah terapi: tidak tampak residu/residif mass pada dinding dada bilateral mammae </t>
  </si>
  <si>
    <t xml:space="preserve">Yuliana Indah Pujiastuti </t>
  </si>
  <si>
    <t>56kg/150cm</t>
  </si>
  <si>
    <t xml:space="preserve">pT1cN0Mx </t>
  </si>
  <si>
    <t xml:space="preserve">ER:  Negatif/ (-)  
PR:  Negatif/ (-)  
HER2:Positive/(+3) 
Ki-67: indeks proliferasi +/- 80% 
Her2 enrich
</t>
  </si>
  <si>
    <t xml:space="preserve">(siklus 1-2)
Epirubicin  100 mg 
Cyclophosphamide  600mg 
(siklus 3) 
Epirubicin 100 mg 
Paclitaxel 200 mL 
(siklus 4) 
Paclitaxel   200 mL 
</t>
  </si>
  <si>
    <t xml:space="preserve">Agranulocytosis, anemia, sesak napas </t>
  </si>
  <si>
    <t xml:space="preserve">Nyeri telan (sinar ke-13)  </t>
  </si>
  <si>
    <t>2 bulan setelah terapi: heterogenously dense fibroglandular breast, tidak ada kelainan pada abdomen</t>
  </si>
  <si>
    <t>8 bulan setelah terapi:  tidak tampak resididf/residu mass pada dinding dada dextra et sinistra, 9 bulan setelah terapi: tidak tampak metastasis pada skeletal, 15 bulan setelah terapi: tidak ada kelainan pada abdomen, 21 bulan setelah terapi: heterogenous breast sinistra, tak tampakmasaa malignant maupun suspicious calcification, tidak tampak kelainan pada abdomen.</t>
  </si>
  <si>
    <t xml:space="preserve">Sri Wahyuni   </t>
  </si>
  <si>
    <t>64kg/150 cm</t>
  </si>
  <si>
    <t xml:space="preserve">pT3N1aMx  </t>
  </si>
  <si>
    <t xml:space="preserve">ER:  Positive/ (+)  
PR:  Positive/ (+)  
HER2:Negatif/(-) 
Ki-67: indeks proliferasi +/- 40% 
Luminal B, HER2 Negatif 
</t>
  </si>
  <si>
    <t xml:space="preserve">Paclitaxel (175mg/m2)) 210 mL 
Carboplatin (300 mg/m2) 350 mL 
</t>
  </si>
  <si>
    <t xml:space="preserve">7 siklus dengan interval 3 minggu </t>
  </si>
  <si>
    <t xml:space="preserve">Nyeri telan (sinar ke-12) 
Kulit leher kemerahan dan gatal (sinar ke-22) 
Luka lecet dileher dan ketiak (sinar ke-27)
Radiodermatitis (dada) (sinar ke-30) 
</t>
  </si>
  <si>
    <t>1 bulan setelah terapi: tidak ada kelainan pada abdomen, 3 bulan setelah terapi: tidak tampak pulmonal metastasis</t>
  </si>
  <si>
    <t>7 bulan setelah terapi: tak tampak residual/resididf  mass pada mammae dextra et sinistra, 8 bulan setelah terapi: suspek metastasis hepatal, 9 bulan setelah terapi: tidak ttampak metastasis skeletal dan tidak tampak hepatal metastasis, 10 bulan setelah terapi: metastasis osteoblastic.</t>
  </si>
  <si>
    <t>Anastrazole tab 1 mg</t>
  </si>
  <si>
    <t xml:space="preserve">Siti Kasihati    </t>
  </si>
  <si>
    <t xml:space="preserve">53kg/153cm </t>
  </si>
  <si>
    <t xml:space="preserve">Ca Mammae sinistra </t>
  </si>
  <si>
    <t xml:space="preserve">pT3N0Mx </t>
  </si>
  <si>
    <t xml:space="preserve">ER:  Positive/ (+)  
PR:  Positive/ (+)  
HER2:Negatif/(-) 
Ki-67: indeks proliferasi lebih dari 20% 
Luminal B, HER2 Negatif 
</t>
  </si>
  <si>
    <t xml:space="preserve">(siklus 1-3)
Doxorubicin (50mg/m2))  70 mL 
Cyclophosphamide (500 mg/m2) 700 mg 
(siklus 4-6)
Docetaxel (75mg/m2) 100 mL 
</t>
  </si>
  <si>
    <t xml:space="preserve">Nyeri telan (sinar ke-10) 
Lecet di area sinar (sinar ke-22) 
</t>
  </si>
  <si>
    <t>1 bulan setelah terapi: tidak tampak residual/resididf mass dinding dada sinistra et dextra, 3 bulan setelah terapi: pulmo tak tampak kelainan, 4 bulan setelah terapi: tidak tampak metastasis pulmonal, 6 bulan setelah terapi: tidak tampak kelainan pada abdomen.</t>
  </si>
  <si>
    <t xml:space="preserve">9 bulan setelah terapi: tidak tampak metastasis osteoblastic, 10 bulan setelah terapi; tidak tampak kelainan pada pulmonal, 11 bulan setelah terapi: tidak tampak kelainan pada abdomen. </t>
  </si>
  <si>
    <t xml:space="preserve">Sumarsih Asih     </t>
  </si>
  <si>
    <t xml:space="preserve">51kg/154cm </t>
  </si>
  <si>
    <t xml:space="preserve">pT3N3aMx </t>
  </si>
  <si>
    <t xml:space="preserve">ER:  Positive/ (+)  
PR:  Negative/ (-)  
HER2:Negative/(1+) 
Ki-67: indeks proliferasi  30% 
Luminal B, HER2 Negatif 
</t>
  </si>
  <si>
    <t xml:space="preserve">(siklus 1-2) 
Epirubicin  100 mg 
Cyclophosphamide 600 mg 
(siklus 3-4) 
Epirubicin  100 mg 
Paclitaxel 230 mg
(siklus 5-6) 
Paclitaxel 230 mg
</t>
  </si>
  <si>
    <t xml:space="preserve">Nyeri bahu kanan sampai lengan (sinar ke-11) 
Nyeri dan gatal area sinar (sinar ke-24) 
</t>
  </si>
  <si>
    <t>1 bulan setelah terapi: suspek myoma uteri, tidak ada kelainan pada abdomen, 6 bulan setelah terapi: mioma uteri, tidak ada kelainan pada hepar</t>
  </si>
  <si>
    <t>7 bulan setelah terapi: edema cutis regio dinding dada dextra, tidak tampak residu/resididf mass pada dinding dada dextra,9 bulan setelah terapi: tidak tampak metastasis osteoblastic, 14 bulan setelah terapi: tak tampak residu/resididf mass pada dinding dada dextra et sinistra, ada metastasis osteoblastic.</t>
  </si>
  <si>
    <t xml:space="preserve">Lili Sari </t>
  </si>
  <si>
    <t xml:space="preserve">50kg/150cm </t>
  </si>
  <si>
    <t xml:space="preserve">ER:  Positive/ (+)  
PR:   Positive/ (+)  
HER2:Negative/(1+) 
Ki-67: indeks proliferasi  70% 
HER2 e-cadherin
</t>
  </si>
  <si>
    <t xml:space="preserve">Paclitaxel(175mg/m2)  186 mg 
Doxorubicin (50mg/m2 50 mL 
</t>
  </si>
  <si>
    <t xml:space="preserve">4 siklus dengan interval 3 minggu </t>
  </si>
  <si>
    <t>1 bulan setelah terapi: tidak tampak residual/residif mass pada dinding dada dextra et sinistra, nodul pulmo dextra suspek modular metastasis, tidak tampak kelainan pada abdomen, pneumonitis post radiasi segmen apial dan anterior lobus superior, nodul spongiform thyroid dextra benign.</t>
  </si>
  <si>
    <t xml:space="preserve">7 bulan setelah terapi: tidak tampak residual/residif mass pada dinding dada dextra et sinistra, suspec nodular pulmo metastasis pulmo dextra, nodular soliter di segmen apical lobus superior pulmo dextra, tidak tampak metastasis osteoblastic, penipisan korteks ren bilateral disertai peningkatan ekostruktur. </t>
  </si>
  <si>
    <t xml:space="preserve">Nastiti Setyo Rahayu </t>
  </si>
  <si>
    <t xml:space="preserve">57kg/60cm </t>
  </si>
  <si>
    <t xml:space="preserve">ER:  Positive/ (+)  
PR:   Positive/ (+)  
HER2:Negative/(+3 
Ki-67: indeks proliferasi  40% 
Luminal B, HER2 Positive 
</t>
  </si>
  <si>
    <t xml:space="preserve">Docetaxel (75mg/m2)  80 mL 
Carboplatin (300 mg/m2)200 mL
</t>
  </si>
  <si>
    <t xml:space="preserve">Nyeri badan, ngilu, sakit tenggorokan (sinar ke-18) 
Lecet (sinar ke-24) 
</t>
  </si>
  <si>
    <t>3 bulan setelah terapi: tak tampak residual/residif mass pada dinding dada sinistra, seroma perisuture ,5 bulan setelah terapi: tidak tampak kelainan pada shoulder joint, tidak tampak metastasis pada tulang/</t>
  </si>
  <si>
    <t>9 bulan setelah terapi: faktur os frontalis sinistra, atrofi cerebra senilis, tidak tampak kelainan pada SPN dan cavum nasi.</t>
  </si>
  <si>
    <t>Letrozole tab 2.5 mg</t>
  </si>
  <si>
    <t xml:space="preserve">Mutijah  </t>
  </si>
  <si>
    <t xml:space="preserve">48kg/145cm </t>
  </si>
  <si>
    <t xml:space="preserve">pT3N2aMx  </t>
  </si>
  <si>
    <t xml:space="preserve">ER:  Positive/ (+)  
PR:   Positive/ (+)  
HER2:Negative/(+1) 
Ki-67: indeks proliferasi  30% 
Luminal B, HER2 Negatif 
</t>
  </si>
  <si>
    <t xml:space="preserve">Docetaxel (75mg/m2) 80 mL 
Epirubicin  (50 mg/5mL)100 mg/5 mL
Carboplatin (200 mg) 200 mL 
</t>
  </si>
  <si>
    <t xml:space="preserve">Nyeri tangan kanan (sinar ke-8)  </t>
  </si>
  <si>
    <t>1 bulan setelah terapi: tidak tampak pulmonal metastasis, tidak tampak residual/resididf mass pada dinding dada dextra</t>
  </si>
  <si>
    <t xml:space="preserve">7 bulan setelah terapi: simple cyst ren dextra pola superior, tidak tampak kelainan pada hepar, 10 bulan setelah terapi: tidak tampak pulmonal metastasis. </t>
  </si>
  <si>
    <t xml:space="preserve">Tamoxifen tab 10mg 
Leuprorelin asetat inj 3.75
</t>
  </si>
  <si>
    <t xml:space="preserve">Tien Maryati </t>
  </si>
  <si>
    <t xml:space="preserve">63kg/150cm </t>
  </si>
  <si>
    <t>pT3N2aMx</t>
  </si>
  <si>
    <t xml:space="preserve">ER:  Positive/ (+)  
PR:   Positive/ (+)  
HER2:Negative/(0) 
Ki-67: indeks proliferasi  60% 
Luminal B, HER2 Negatif 
</t>
  </si>
  <si>
    <t>MRM sinistra+diseksi axilla</t>
  </si>
  <si>
    <t xml:space="preserve">Docetaxel  80 mL 
Epirubicin  100 mL 
Carboplatin 200 mL 
</t>
  </si>
  <si>
    <t>pr... x 2.4 Gy (60 Gy)</t>
  </si>
  <si>
    <t xml:space="preserve">Pegal (sinar ke-6) 
Nyeri telan (sinar ke-18) 
Radiodermatitis (sinar ke-22) 
</t>
  </si>
  <si>
    <t>1 bulan setelah terapi: tidak tampak kelainan pada abdomen</t>
  </si>
  <si>
    <t>8 bulan setelah terapi: tidak tampak kelainan pada abdomen, 10 bulan setelah terapi: multiple nodul suspek type pulmonal metastasis</t>
  </si>
  <si>
    <t xml:space="preserve">Anastrazole tab 1 mg 
Leuprorelin acetate inj 3.75 mg
</t>
  </si>
  <si>
    <t>Masfiyah</t>
  </si>
  <si>
    <t>53kg/150cm</t>
  </si>
  <si>
    <t>yPT3NxMx</t>
  </si>
  <si>
    <t xml:space="preserve">ER: Positif/ (+)  
PR: Negative/ (-)  
HER2:Negative/(+1) 
Ki-67: indeks proliferasi +/- 30% 
Luminal B, Her2 negatif 
</t>
  </si>
  <si>
    <t xml:space="preserve">(siklus 1-4) Doxorubicin (50mg/m2)80 mL
Cyclophosphamide (500mg/m2)  800 mg      (siklus 5-6) Docetaxel (75mg/m2) 140 mg 
</t>
  </si>
  <si>
    <t>25x2 Gy (50 Gy)</t>
  </si>
  <si>
    <t xml:space="preserve">Nyeri telan (sinar ke-10)  </t>
  </si>
  <si>
    <t xml:space="preserve">1 bulan setelah terapi: tidak ada metastasis pada abdomen dan tidak ada metastasis pada pulmonal, 6 bulan setelah terapi: spondyloarthrosis lumbalis, dan tidak tampak metastasis pada skeletal. </t>
  </si>
  <si>
    <t xml:space="preserve">7 bulan setelah terapi: tak tampak residual/resididf mass pada dinding dada sinistra et dextra, 9 bulan setelah terapi: pulmo tak tampak kelainan, 12 bulan setelah terapi: tiak ada kelainan pada abdomen, 13 bulan setelah terapi: tak tampak residual/resisid mass pada dinding dada sinistra et dextra, 15 bulan setelah terapi: tidak tampak skeletal metastasis dan kelainan pulmo. </t>
  </si>
  <si>
    <t>anastrazole tab 1 mg</t>
  </si>
  <si>
    <t xml:space="preserve">Hendrwati Prasetyaningsih </t>
  </si>
  <si>
    <t>63kg/159cm</t>
  </si>
  <si>
    <t xml:space="preserve">ER:  Negatif/ (-)  
PR:  Negatif/ (-)  
HER2:Negatif/(+1) 
Ki-67: indeks proliferasi +/- 80% 
Triple Negatif 
</t>
  </si>
  <si>
    <t xml:space="preserve">(siklus 1-4)
Doxorubicin 90 mL 
Cyclophosphamide 900 mg  
(siklus 5-6) 
Docetaxel 150 mL 
</t>
  </si>
  <si>
    <t xml:space="preserve">Nyeri telan (sinar ke-12,19,23)  
Gatal di area sinar (sinar ke-25) 
</t>
  </si>
  <si>
    <t xml:space="preserve">2 bulan setelah terapi: small simple cyst mammae dextra, tak tampak residual/residif mass pada dinding dada sinistra et dextra, tidak ada kelainan pada abdomen, 5 bulan setelah terapi: tidak tampak residuall/residif mass pada dinding dada sinistra et dextra, tidak ada kelainan pada abdomen, tidak tampak pulmonal metastasis. </t>
  </si>
  <si>
    <t>11 bulan setelah terapi: tidak tampak residual/residif mass pada dinding dada sinistra et dextra, tidak tampak kelainan pada abdomen, infiltrat pulmo dextra mengarah pneumonia dextra, tak tampak bone metastasis</t>
  </si>
  <si>
    <t>Sukirah</t>
  </si>
  <si>
    <t>53kg/149cm</t>
  </si>
  <si>
    <t>pT3N3aMx</t>
  </si>
  <si>
    <t>ER:  Positive/ (+) 
 PR:   Positive/ (+) 
 HER2:Negative/(+3) 
 Ki-67: indeks proliferasi  60% 
 Luminal B, HER2 Positive</t>
  </si>
  <si>
    <t xml:space="preserve">Doxorubicin (50mg/m2)  70 mL 
Docetaxel  (75 mg/m2) 110 mL 
</t>
  </si>
  <si>
    <t xml:space="preserve">Siariawan (sinar ke-11) 
Tangan terasa sakit (sinar ke-18) 
</t>
  </si>
  <si>
    <t>1 bulan setelah terapi: tidak tampak khas tanda metastasis osteoblastic, tidak ada kelainan pada abdomen, 6 bulan setelah terapi: tidak tampak residual/resididf mass pada dinding dada dextra et sinistra.</t>
  </si>
  <si>
    <t xml:space="preserve">7 bulan setelah terapi: tidak tampak metastase pada pulmo dan skeletal, 8 bulan setelah terapi: tidak tampak kelainan pada abdomen. </t>
  </si>
  <si>
    <t>Sadino</t>
  </si>
  <si>
    <t xml:space="preserve">72kg/156cm </t>
  </si>
  <si>
    <t>ER:  Positive/ (+) 
 PR:   Positive/ (+) 
 HER2:Negative/(0) 
 Ki-67: indeks proliferasi  30% 
 Luminal B, HER2 Negatif</t>
  </si>
  <si>
    <t xml:space="preserve">Paclitaxel (175mg/m2) 280 mL
Carboplatin (300mg/m2) 200 mL 
</t>
  </si>
  <si>
    <t>1 bulan setelah terapi: tidak tampak residual/residif mass pada dinding dada dextra et sinistra, 6 bulan setelah terapi: tidak ada kelainan pada abdomen.</t>
  </si>
  <si>
    <t xml:space="preserve">7 bulan setelah terapi: massa mediastrinum dextra tidak tampak skeletal metastasis, 8 bulan setelah terapi: tidak tampak residual/resididf mass pada dinding dada dextra et sinistra, seroma di regip perisutura dextra. </t>
  </si>
  <si>
    <t xml:space="preserve">45kg/142cm </t>
  </si>
  <si>
    <t xml:space="preserve">ER:  Negative/ (-)  
PR:   Negative/ (-)  
HER2:Negative/(0) 
Ki-67: indeks proliferasi 70% 
Triple Negative 
</t>
  </si>
  <si>
    <t xml:space="preserve">Paclitaxel (100 mg) 160 mL
Carboplatin (10mg/mL/15mL) 300 mL 
</t>
  </si>
  <si>
    <t>anemia</t>
  </si>
  <si>
    <t xml:space="preserve">Kulit kehitaman (sinar ke-13)
Mual (sinar ke-20) 
Radiodermatitis ketiak sebelah kiri (sinar ke-30)
</t>
  </si>
  <si>
    <t xml:space="preserve">2 bulan setelah terapi: tak tampak residual/resididf mass pada dinding dada sinistra et dextra, tak tampak kelainan pulmonal, 3 bulan setelah terapi tak tampak kelainan abdomen, 5 bulan setelah terapi: tak tampak residual/residif mass pada dinding dada sinistra, 6 bulan setelah terapi: tidak tampak pulmonal metastasis </t>
  </si>
  <si>
    <t>7 bulan setelah terapi: osteoclastik pada os parietal crani mengarah type metastasis.</t>
  </si>
  <si>
    <t>Ponatin</t>
  </si>
  <si>
    <t>69kg/160cm</t>
  </si>
  <si>
    <t xml:space="preserve">pT2N0Mx  </t>
  </si>
  <si>
    <t xml:space="preserve">ER:  Negative/ (-)  
PR:   Negative/ (-)  
HER2:Positif/(+3) 
Ki-67: indeks proliferasi 90% 
HER2 enriched 
</t>
  </si>
  <si>
    <t xml:space="preserve">(siklus 1-4)
Cyclophopsphamide 0.9 g 
Doxorubicin 90 mg
(siklus 5-8)
Docetaxel 100 mg 
</t>
  </si>
  <si>
    <t xml:space="preserve">Anemia, agranylocytosis </t>
  </si>
  <si>
    <t xml:space="preserve">Perut sering terasa panas (sinar ke-6) 
Radiodermatitis (sinar ke-23) 
Menghitam diarea sinar (sinar ke-15) 
</t>
  </si>
  <si>
    <t xml:space="preserve">1 bulan setelah terapi: tidak tampak skeletal metastasis, 5  bulan setelah terapi: tidak tampak kelainan abdomen, 6 bulan setelah terapi: FAM mammae dextra, tak tampak residual/resididf mass pada dinding dada sinistra et dextra, </t>
  </si>
  <si>
    <t>9 bulan setelah terapi: saat ini tidak tampak khas adanya tanda metastasis osteoblastic, 12 bulan setelah terapi: tak tampak kelainan pada abdomen dan tak tampak residual/residif mass pada dinding dada sinistra et dextra, tak tampak pulmonal metastasis.</t>
  </si>
  <si>
    <t xml:space="preserve">Suwasti  </t>
  </si>
  <si>
    <t xml:space="preserve">52kg/141cm </t>
  </si>
  <si>
    <t xml:space="preserve">ER:  Positif/ (+)  
PR:   Positif/ (+)  
HER2:Negatif/ (-) 
Ki-67: indeks proliferasi 15% 
Luminal A, HER2 Negatif 
</t>
  </si>
  <si>
    <t xml:space="preserve">Paclitaxel 180 mL 
Carboplatin 300 mL 
</t>
  </si>
  <si>
    <t xml:space="preserve">Gatal (sinar ke-12) 
Kulit kemerahan, nyeri kepala berputar (sinar ke-17)
Nyeri menelan, kulit kemerahan (sinar ke-20) 
Nyeri telan (sinar ke-21)  
</t>
  </si>
  <si>
    <t>2 bulan setelah terapi: tak tampak residual/residif mass pada dinding dada sinistra et dextra, 4 bulan seperti terapi: tak tampak pulmonal metastasis.</t>
  </si>
  <si>
    <t>6 bulan setelah terapi: tak tampak kelainan pada abdomen, 9  bulan setelah terapi: tak tampak kelainan pada pulmonal dan limfonodi curiga metastasis axilla dextra (kekambuhan locoregional), tidak tampak residif mass dinding dada sinistra, 11 bullan setelah terapi: tak tampak pulmonal metastasis, 12 bulan setelah terapi: tak tampak skeletal metastasis osetoblastic</t>
  </si>
  <si>
    <t xml:space="preserve">Anastrazole tab 1 mg </t>
  </si>
  <si>
    <t xml:space="preserve">Suci Lestari </t>
  </si>
  <si>
    <t xml:space="preserve">ER:  Negatif/ (-)  
PR:   Negatif/ (-)  
HER2:Positif/ (+3)  
Ki-67: indeks proliferasi 10% 
HER2 enriched 
</t>
  </si>
  <si>
    <t xml:space="preserve">(siklus 1-4)
Doxorubicin 70 mL 
Cyclophosphamide 700 mg
(siklus 5-8) 
Docetaxel  100 mL 
</t>
  </si>
  <si>
    <t xml:space="preserve">Anemia, agranylocytosis. </t>
  </si>
  <si>
    <t xml:space="preserve">Nyeri telan, radiodermatitits (sinar ke-15) 
Kulit menghitam (sinar ke-21) 
</t>
  </si>
  <si>
    <t>1 bulan setelah terapi: tak tampak residual/resididf mass pada dinding dada dextra et sinistra, tak tampak pulmonal metastasis, 2 bulan setelah terapi: tak tampak kelainan pada abdomen</t>
  </si>
  <si>
    <t>10 bulan setelah terapi: tak tampak residual/residif mass pada dinding dada dextra dan tidak tampak kelainan pada abdomen, dan tidak ada kelainan pada pulmonal metastasis.</t>
  </si>
  <si>
    <t xml:space="preserve">Leni Marlina </t>
  </si>
  <si>
    <t xml:space="preserve">92kg/155 </t>
  </si>
  <si>
    <t>ER:  Negatif/ (-)  
PR:   Negatif/ (-)  
HER2:Negative/(0) 
Ki-67: indeks proliferasi  90% 
Triple Negatif</t>
  </si>
  <si>
    <t xml:space="preserve">Paclitaxel 260 mL (Paclitaxel 175mg/m2)
Carboplatin 450 mL (300 mg/m2) </t>
  </si>
  <si>
    <t xml:space="preserve">25x2 Gy (60 Gy)  (locoregional) + 30x2 (60 Gy) </t>
  </si>
  <si>
    <t xml:space="preserve">Nafsu makan menurun, mual (sinar ke-10) 
Nyeri telan (sinar ke-12,13,19,20) 
Batuk (sinar ke-19,20)
Radiodermatitis (sinar ke-27) </t>
  </si>
  <si>
    <t>1 bulan setelah terapi: tak tampak pulmonal metastasis, 3 bulan setelah terapi:  tak tampak residual/residif mass pada dinding dada sinistra et dextra, tidak tampak kelainan skeletal, tak tampak kelainan pulmonal, 4 bulan setelah terapi: tak tampak gambaran infrak perdarahan atau infeksi, tak tampak kelainan pada abdomen.</t>
  </si>
  <si>
    <t>11 bulan setelah terapi: tak tampak kelainan pada intracerebri maupun intracerebelli, tak tampak kelainan pada skeletal, tak tampak kelainan pada abdomen, tak tampak kelainan pada pulmo</t>
  </si>
  <si>
    <t>Sarjidah</t>
  </si>
  <si>
    <t>73kg/162 cm</t>
  </si>
  <si>
    <t>Ca Mammae Dextra</t>
  </si>
  <si>
    <t>Fatty liver</t>
  </si>
  <si>
    <t>T4BN1Mx</t>
  </si>
  <si>
    <t xml:space="preserve">ER: positif (+) 
PR: Positif (+) 
HER2: negatif/ (+1) 
Ki67: indeks proliferasi +/- 40% (lebih dari 20%).    Luminal B, HER2 Negative 
</t>
  </si>
  <si>
    <t>Neoadjuvan</t>
  </si>
  <si>
    <t xml:space="preserve">Siklus 1-4 
Doxorubicin 10mg/5 mL  (50 mg/m2) 
Doxorubicin 80mg/mL  (75 mg/m2)
Endoxan (cyclophosphamide 500mg/mL) (500mg/m2) 
Siklus ke5-8 
Docetaxel 120mL/24 jam 
</t>
  </si>
  <si>
    <t xml:space="preserve">8 dengan interval 3 minggu </t>
  </si>
  <si>
    <t xml:space="preserve">Mual, muntah, diare, neutropenia, batuk pilek, pusing, badan terasa sakit </t>
  </si>
  <si>
    <t xml:space="preserve">Capek seluruh badan, gatak dan kehitaman di area radiasi, lecet diketiak sebelah kanan, kulit diarea sinar sudah mulai menghitam </t>
  </si>
  <si>
    <t>2 bulan setelah terapi: tidak tampak pulmonal metastasis, 4 bulan setelah terapi: tidak tampak skeletal metastasis</t>
  </si>
  <si>
    <t xml:space="preserve">7 bulan setelah terapi: tidak tampak residif mass pada dinding dada dextra, tak tampak kelainan pada mammae sinistra, 8 bulan setelah terapi: tidak tampak pulmonal metastasis, 9 bulan setelah terapi: tidak tampak kelainan pada abdomen, 12 bulan setelah terapi: tidak tampak resisidf mass pada dinding dada dextra dan mammae sinistra, 13 bulan setelah terapi: tidak tampak pulmonal metastasis. </t>
  </si>
  <si>
    <t>Windiarti</t>
  </si>
  <si>
    <t>48 kg/160 cm</t>
  </si>
  <si>
    <t>Diabetes Melitus</t>
  </si>
  <si>
    <t xml:space="preserve">ER: positive (+) 
PR: positive (+) 
GER2: Negatif/ (+1) 
Ki-67: indeks proliferasi +/- 30% (&gt;20%)
Luminal B, High Li-67, HER2 negatif 
</t>
  </si>
  <si>
    <t xml:space="preserve">(Kemoterapi siklus 1-4)
Doxorubicin inj 50 mg/25 mL 
Endoxan inj 200 mg
(Kemoterapi siklus 5-8) 
Brexel (Docetaxel) inj 80 mg/2 mL 
</t>
  </si>
  <si>
    <t xml:space="preserve">Anemia,  agranulocytosis, diare </t>
  </si>
  <si>
    <t xml:space="preserve">1 bulan setelah terapi: pasien mengalami metastasis pada osteoclastic </t>
  </si>
  <si>
    <t xml:space="preserve">Tamoxifen tab 10 mg 
Goserelin acetate inj 3.6 mg/vial </t>
  </si>
  <si>
    <t xml:space="preserve">Umiyati </t>
  </si>
  <si>
    <t>77 kg/150 cm</t>
  </si>
  <si>
    <t>Ca Mammae  dextra</t>
  </si>
  <si>
    <t xml:space="preserve">ER: Positif/ (+) 
PR: positif/ (+) 
HER2: Negatif/ (-) 
Ki67: indeks proliferasi  +/- 5% (&lt;20%).         Luminal A, HER2 Negative 
</t>
  </si>
  <si>
    <t xml:space="preserve">Cyclophosphamide inj 200 mg 
Cyclophosphamide inj 500 mg 
Doxorubicin inj 10mg/5 mL 
Doxorubicin inj 50 mg/25 mL 
</t>
  </si>
  <si>
    <t>Mual muntah, lemas, ngilu, agranulocytosis, neutropenia</t>
  </si>
  <si>
    <t xml:space="preserve">Bengkak di ketik (sinar ke 7) 
Lecet di bawah payudara (sinar ke 25) 
radiodermatitis
</t>
  </si>
  <si>
    <t>1 bulan setelah terapi: edema subcutis, seroma (post op), small fibrocystic lesion, 2 bulan setelah terapi: tidak tampak khas adanya tanda metastasis osteoblastik, 4 bulan setelah terapi: tidak tampak pulmonal metastasis, 5 bulan setelah terapi: tidak tampak metastasis abdomen</t>
  </si>
  <si>
    <t>9 bulan setelah terapi: multiple fibrocystic lesion arah mammae dextra, 10 bulan setelah terapi: tidak tampak metastasis abdomen, 11 bulan setelah terapi: tidak tampak pulmonal metastasis.</t>
  </si>
  <si>
    <t>Subariyah</t>
  </si>
  <si>
    <t>63kg/150 cm</t>
  </si>
  <si>
    <t>Hipertensi, anemia</t>
  </si>
  <si>
    <t>T4BN1M0</t>
  </si>
  <si>
    <t xml:space="preserve">ER: positif 
PR: negatif 
HER: negatif 
Ki67: indeks proliferasi +/- 10% (&gt;20%).    Luminal B, HER2 Negative 
</t>
  </si>
  <si>
    <t xml:space="preserve">Neoadjuvan </t>
  </si>
  <si>
    <t xml:space="preserve">Siklus 1-4
Brexel inj (docetaxel) 80mg/2 mL 
Doxorubicin kalbe 50mg/25 mL 
Siklus 4-5
Paclitaxel inj 100 mg 
</t>
  </si>
  <si>
    <t>Agranulocytosis, batuk, anemia</t>
  </si>
  <si>
    <t xml:space="preserve">Cengeng di tekuk (sinar ke 7)
Nyeri pada dada kanan (sinar ke 18) 
Radiodermatitis (sinar ke 24)
</t>
  </si>
  <si>
    <t>1 bulan setelah terapi: multiple nodal metastasis axillary tail sinistra, infraclavicular sinistra, dan mammae sinistra, 2 bulan setelah terapi: tidak tampak pulmonal metastasis, 6 bulan setelah terapi: osteoblastoc tipe skeletal metastasis pada vertebra lumbal dan os femur dextra</t>
  </si>
  <si>
    <t>Sutrisni</t>
  </si>
  <si>
    <t>50kg/147 cm</t>
  </si>
  <si>
    <t>Anemia</t>
  </si>
  <si>
    <t>T2NxMx</t>
  </si>
  <si>
    <t>ER: positive / (+) 
 PR: positive / (+)
 HER2: Negatif/(+1) 
 Ki-67: indeks proliferasi +/- 90% (&gt;20%). Luminal B, HER2 Negative</t>
  </si>
  <si>
    <t xml:space="preserve">Epirubicin inj 50mg/25mL 
Paclitaxel inj 100 mg/16.7 mL 
</t>
  </si>
  <si>
    <t>4 siklus dengan interval 3 minggu</t>
  </si>
  <si>
    <t xml:space="preserve">agranulocytosis, anemia </t>
  </si>
  <si>
    <t>Mual dan pusing (sinar ke 7)</t>
  </si>
  <si>
    <t>2 bulan setelah terapi: tidak tampak kelainan pada mammae dextra dan sinistra, 3 bulan setelah terapi: tidak tampak metastasis pada abdomen, 4 bulan setelah terapi: tidak tampak metastasis pada tulang.</t>
  </si>
  <si>
    <t>11 bulan setelah terapi: edema subcutan mammae dextra, tak tampak residu/residif mammae dextra, 12 bulan setelah terapi: tidak tampak kelainan pada abdomen.</t>
  </si>
  <si>
    <t>Tamoxifen tab 10 mg 
Goserelin acetate inj 3.6 mg/vial</t>
  </si>
  <si>
    <t>Poniyem</t>
  </si>
  <si>
    <t>54kg/150 cm</t>
  </si>
  <si>
    <t>pT3N1M1</t>
  </si>
  <si>
    <t>ER: Negative/ (-) 
 PR: Negative/ (-)
 HER2: Negatif/(0) 
 Ki-67: indeks proliferasi +/- 80% (&gt;20%) Triple Negative</t>
  </si>
  <si>
    <t xml:space="preserve">Carboplatin ferron inj 10mg/mL 45 mL (300 mL) 
Paclitaxel 100mg/16.7 mL (210 mg) 
</t>
  </si>
  <si>
    <t xml:space="preserve">agranulocytosis, anemia, neutropenia </t>
  </si>
  <si>
    <t>25x2 Gy (50 Gy) + 5x2Gy (10 Gy) + ...x0.2 Gy (6 Gy)</t>
  </si>
  <si>
    <t xml:space="preserve">Mual dan pusing (sinar ke 4) 
Kulit kemerahan, sebagian mengelupas 
Gatal di area radiasi
</t>
  </si>
  <si>
    <t>1 bulan setelah terapi: tidak tampak skeletal metastasis dan tidak tampak kelainan pada residual/residif mass pada dinding dada dextra dan tidak ada kelainan pada mammae sinistra, 2 bulan setelah terapi: multiple limfadenopati axillary tail sinistra mengarah gambaran nodal metastasis, tidak ada residual/resisidf mass pada dinding dada dextra, 3 bulan setelah terapi: tidak tampak pulmonal metastasis.</t>
  </si>
  <si>
    <t xml:space="preserve">8 bulan setelah terapi: tidak tampak residual/residif mass pada dinding dada dextra, tidak ada kelainan pada mammae sinistra, 9 bulan setelah terapi: tidak tampak pulmonal metastasis, 15 bulan setelah terapi: tidak tampak residual/resisidf mass pada dinding dada dextra et sinistra, 16 bulan setelah terapi: tidak tampak pulmonal metastasis, 18 bulan setelah terapi: tidak tampak kelainan pada abdomen, 19 bulan setelah terapi: tidak tampak skeletal metastasis, 22 bulan setelah terapi: tidak tampak residual/resisidf mass pada dinding dada dextra, lesi solid inhomogen mammae sinistra, 24 bulan setelah terapi: tidak tampak pulmonal metastasis,  25 bulan setelah terapi: tidak tampak kelainan pada abdomen. </t>
  </si>
  <si>
    <t>capecitabine 500 mg</t>
  </si>
  <si>
    <t>Paula Stince Griapon</t>
  </si>
  <si>
    <t>75kg/165 cm</t>
  </si>
  <si>
    <t xml:space="preserve">Ca Mammae  sinistra </t>
  </si>
  <si>
    <t>pT2N0M1</t>
  </si>
  <si>
    <t xml:space="preserve">ER: positif / (+) 
PR:  positif/ (+)
HER2: Negatif/(0) 
Ki-67: indeks proliferasi +/- 80% (&gt;20%)   Luminal B, HER2 Negative 
</t>
  </si>
  <si>
    <t xml:space="preserve">Carboplatin ferron inj 10mg/mL 45 mL (300 mL) 
Paclitaxel 100mg/16.7 mL (210 mg) 
Paclitaxel inj 30mg (30 mL) 
</t>
  </si>
  <si>
    <t>agranulocytosis, anemia</t>
  </si>
  <si>
    <t xml:space="preserve">Gatal dan kehitaman pada payudara (sinar ke-20)
Lecet di leher dan di dada (sinar ke-25) 
</t>
  </si>
  <si>
    <t xml:space="preserve">2 bulan setelah terapi: curiga nodal metas axillary tail dextra, tak tampak residual/resisidf mass pada dinding dada dextra. </t>
  </si>
  <si>
    <t xml:space="preserve">14 bulan setelah terapi: tidak tampak residual/residif mass pada dinding dada sinistra dan tidak tampak pulmonal metastasis. </t>
  </si>
  <si>
    <t xml:space="preserve">Tamofen tab 10 mg 
Zoladex (Goserelin asetat) inj 3.6 mg 
</t>
  </si>
  <si>
    <t>Lestari</t>
  </si>
  <si>
    <t>47kg/155cm</t>
  </si>
  <si>
    <t>pT1N0Mx</t>
  </si>
  <si>
    <t xml:space="preserve">ER: negative / (-) 
PR:  negative/ (-)
HER2: Negatif/(0) 
Ki-67: indeks proliferasi +/- 70% (&gt;20%). Triple Negative 
</t>
  </si>
  <si>
    <t xml:space="preserve">Mual dan pusing (sinar ke-14)  </t>
  </si>
  <si>
    <t>1 bulan setelah terapi: tidak tampak pulmonal metastasis, 2 bulan setelah terapi: nodal metastasis axillary dextra, tak tampak residual/resididf mass pada dinding dada sinistra, 5 bulan setelah terapi: tidak tampak metastasis osteoblastic, 6 bulan setelah terapi: tidak tampak skeletal metastasis.</t>
  </si>
  <si>
    <t xml:space="preserve">7 bulan setelah terapi: multiple lesi hypoechoic pada lobus sinistra hepar mengarah gambaran hepatal metastasis, nodular type pulmonal metastasis, efusi pleura sinistra mengarah gambaran subpleural type pulmonal metastasis. </t>
  </si>
  <si>
    <t xml:space="preserve">Tamofen tab 10 mg  
</t>
  </si>
  <si>
    <t>Mujiyati</t>
  </si>
  <si>
    <t xml:space="preserve">56kg/145cm </t>
  </si>
  <si>
    <t xml:space="preserve">pT1bN2aMx </t>
  </si>
  <si>
    <t xml:space="preserve">ER: Positive / (+) 
PR:  Positive/ (+)
HER2: Negatif/(+1) 
Ki-67: indeks proliferasi +/- 70% (&gt;20%)    Luminal B, HER2 Negative
</t>
  </si>
  <si>
    <t xml:space="preserve">Brexel (docetaxel) 20mg/5mL 
Brexel (docetaxel) 80mg/2mL 
Doxorubicin 50mg/2mL 
</t>
  </si>
  <si>
    <t xml:space="preserve">agranulocytosis, anemia, </t>
  </si>
  <si>
    <t xml:space="preserve">Nyeri telan (sinar ke-13,14 , 24) </t>
  </si>
  <si>
    <t>2 bulan setelah terapi: tak tampak residual/resisidf  mass pada dinding dada sinistra et dextra, 4 bulan setelah terapi: tidak tampak kelainan pada abdomen, 6 bulan setelah terapi: tak tampak skeletal metastasis</t>
  </si>
  <si>
    <t xml:space="preserve">8 bulan setelah terapi: tidak tampak pulmonal metastasis, 9 bulan setelah terapi: tak tampak residual/residif mass pada dinding dada sinistra et dextra, 11 bulan setelah terapi: tak tampak metastasis pada hepar, 15 bulan setelah terapi: tak tampak pulmonal metastasis, 16 bulan setelah terapi: tak tampak residual/residif mass pada dinding dada sinistra et dextra, 17 bulan setelah terapi: hepatomegaly dengan fatty liver, tidak tampak metastasis abdomen, 19 bulan setelah terapi: tak tampak skeletal metastasis, 22 bulan setelah terapi: tak tampak residual/residif mass pada dinding dada sinistra et dextra, 23 bulan setelah terapi: tidak tampak metastasis abdomen. </t>
  </si>
  <si>
    <t>Dwi Suyatmi</t>
  </si>
  <si>
    <t xml:space="preserve">ER: Positive / (+) 
PR:  Positive/ (+)
HER2: Negatif/(0) 
Ki-67: indeks proliferasi +/- 90% (&gt;20%).  Luminal B, HER2 Negative 
</t>
  </si>
  <si>
    <t xml:space="preserve">Lecet di bawah ketiak kanan (sinar ke-24) 
</t>
  </si>
  <si>
    <t xml:space="preserve">9 bulan setelah terapi: tidak tampak residual/resisidf mass pada dinding dada dextra et sinistra, 14 bulan setelah terapi: curiga hepatal metastasis, 17 bulan setelah terapi: multiple hepatal cyst dan metastasis pada proteksi os vertebrae lumbal </t>
  </si>
  <si>
    <t xml:space="preserve">Erlis Nurhidayati  </t>
  </si>
  <si>
    <t>60kg/158cm</t>
  </si>
  <si>
    <t xml:space="preserve">ER: Negatif / (-) 
PR:  Negatif/ (-)
HER2: Positif/(+3),     
Ki-67: indeks proliferasi +/- 70% (&gt;20%).        Luminal A, HER 2 Positif 
</t>
  </si>
  <si>
    <t xml:space="preserve">(siklus 1-4) 
Doxorubicin 50mg/2mL 
Doxorubicin 10mg/5 mL 
Endoxan (cyclophosphamide) 200 mg 
(siklus 5-6)
Paclitaxel 100 mg/16.7 mL 
Paclitaxel inj 30mg/5 mL 
</t>
  </si>
  <si>
    <t>30x2 Gy (60 Gy)</t>
  </si>
  <si>
    <t xml:space="preserve">Tenggorokan sakit untuk menelan (sinar ke-24) 
Perut kembung kalau malam hari (sinar ke-26,27) 
Payudara lecet (sinar ke-27) 
</t>
  </si>
  <si>
    <t>1 bulan setelah terapi: multiple hepatal metastasis dengan hepatomegaly, 2 bulan setelah terapi: pneumonic type pulmonal metastasis</t>
  </si>
  <si>
    <t xml:space="preserve">Rahmawati  </t>
  </si>
  <si>
    <t xml:space="preserve">68kg/163cm </t>
  </si>
  <si>
    <t xml:space="preserve">ER: Positif / (+) 
PR:  Positif/ (+)
HER2: Negatif/(+1) 
Ki-67: indeks proliferasi +/- 70%        Luminal B, HER2 Negative
</t>
  </si>
  <si>
    <t xml:space="preserve">Paclitaxel 210 mg 
Carboplatin 360 mg  
</t>
  </si>
  <si>
    <t>3 siklus dengan interval 3 minggu</t>
  </si>
  <si>
    <t xml:space="preserve">Menghitam pada area sinar (sinar ke-21) </t>
  </si>
  <si>
    <t>1 bulan setelah terapi: residu mass mammae sinistra, tidak ada kelainan dextra, tidak ada metastasis pada abdomen, tidak ada metastasis pada thorax</t>
  </si>
  <si>
    <t xml:space="preserve">7 bulan setelah terapi: penebalan dinding cutis dengan seroma dinding dada anterolatera sinistra,  tidak ada metastasis pada abdomen, tidak ada metastasis pada pulmonal. 15 bulan setelah terapi: tidak tampak pulmonal metastasis. 18 bulan setelah terapi: tak tampak residual/residif mass pada dinding dada sinistra et dextra, 19 bulan setelah terapi: tidak ada kelainan pada hepar, 21 bulan setelah terapi: tidak tampak bone metastasis, 22 bulan setelah terapi: tidak tampak pulmonal metastasis. </t>
  </si>
  <si>
    <t>tamofen tab 10 mg 
Zoladex (Goserelin asetat) inj 3.6 mg</t>
  </si>
  <si>
    <t>50 kg/147 cm</t>
  </si>
  <si>
    <t>T2N1M0</t>
  </si>
  <si>
    <t xml:space="preserve">ER: Positif/ (+) 
PR: Positif/ (+) 
HER2: Negatif/ (+1)
Ki67: indeks proliferasi &gt;20% (+/- 90%).    Luminal B, HER2 Negative 
</t>
  </si>
  <si>
    <t xml:space="preserve">Epirbicin otto inj 50mg/5 mL 
Paclitaxel otto inj 100mg/16.7 mL 
</t>
  </si>
  <si>
    <t xml:space="preserve">4  siklus dengan interval 3 minggu </t>
  </si>
  <si>
    <t>25x2 Gy (50 Gy) + 5x2 Gy (10 Gy)</t>
  </si>
  <si>
    <t xml:space="preserve">Mual dan pusing (sinar ke-7)  </t>
  </si>
  <si>
    <t xml:space="preserve">2 bulan setelah terapi: tidak tampak kelainan pada mammae dextra dan sinistra, 3 bulan setelah terapi: tidak ada kelainan pada abdomen, 4 bulan setelah terapi: tidak tampak metastasis pada skeletal. </t>
  </si>
  <si>
    <t>10 bulan setelah terapi: komposisi jaringan payudara scattered (tipe b), edema subcutan mammae dextra tetapi tidak ada residu/residif, 11 bulan setelah terapi: tidaka da kelainan pada abdomen</t>
  </si>
  <si>
    <t>Tamofen tab 10 mg 
Zoladex (Goserelin asetat) inj 3.6 mg</t>
  </si>
  <si>
    <t>Ambarwati</t>
  </si>
  <si>
    <t>48kg/160cm</t>
  </si>
  <si>
    <t xml:space="preserve">Hipertensi, anemia </t>
  </si>
  <si>
    <t>pT4bN1aMx</t>
  </si>
  <si>
    <t xml:space="preserve">ER: Positif/ (+) 
PR: Positif/ (+) 
HER2: Negatif/ (0)
Ki67: indeks proliferasi +/- 40%.       Luminal B, HER2 Negative
</t>
  </si>
  <si>
    <t xml:space="preserve">Paclitaxel 210 mg 
Karboplatin 400 mg 
</t>
  </si>
  <si>
    <t xml:space="preserve">4 siklus dengan interval 3 minggu  </t>
  </si>
  <si>
    <t xml:space="preserve">Anemia, agranulytosis, nyeri badan (kemo ke-3), neutropenia </t>
  </si>
  <si>
    <t xml:space="preserve">Nyeri telan (sinar ke-13)  
Tenggorokan sakit buat menelan (sinar ke-18)
Gatal di area payudara (sinar ke 22) 
Lecet di area sinar (sinar ke-25,28)
Lecet dan nyeri (sinar ke 30)
</t>
  </si>
  <si>
    <t>1 bulan setelah terapi: tidak tampak kelainan pulmonal,  3 bulan setelah terapi: metastasis pada limfonodi axilla sinistra, tidak ada residu/residif mass pada dinding dada sinistra et dextra, 6 bulan setelah terapi: tidak tampak metastasis skeletal</t>
  </si>
  <si>
    <t>8 bulan setelah terapi: tidak ada kelainan pada abdomen, 11 bulan setelah terapi: tidak tampak pulmonal metastasis</t>
  </si>
  <si>
    <t>Isti Kharoh</t>
  </si>
  <si>
    <t>60kg/150cm</t>
  </si>
  <si>
    <t xml:space="preserve">Hipertensi, kholelitiasis </t>
  </si>
  <si>
    <t xml:space="preserve">ER: Negatif/ (-) 
PR: Negatif/ (-) 
HER2: Positif/ (+3)
Ki67: indeks proliferasi +/- 60% (&gt;20%).     HER2 enriched
</t>
  </si>
  <si>
    <t xml:space="preserve">Paclitaxel30mg/5 mL  
Karboplatin 10mg/mL 15 mL  
</t>
  </si>
  <si>
    <t xml:space="preserve">6 siklus dengan interval 3 minggu  </t>
  </si>
  <si>
    <t xml:space="preserve">Mual,muntah, gatal di lutut dan tangan (kemo ke-1) 
Mual muntah, kaku ke 2 kaki (kemo-2)
Kaki cekot2, lidah pahit (kemo ke-3)  
</t>
  </si>
  <si>
    <t xml:space="preserve">Sakit tenggorokan (sinar ke-21) 
Lecet (sinar ke-25)
Tangan kiri sakit
Kesemutan 
</t>
  </si>
  <si>
    <t>2 bulan setelah terapi: tidak tampak adanya metastasis skeletal, 3 bulan setelah terapi: tidak tampak residual/residif mass pada dinding dada sinistra, 4 bulan setelah terapi: tidak tampak kelainan pada abdomen</t>
  </si>
  <si>
    <t>11 bulan setelah terapi: tidak tampak residual/residif mass pada dinding dada sinistra et dextra, tidak ada kelainan pada abdomen, 14 bulan setelah terapi: tidak tampak adanya metastasis skeletal, tidak tampak kelainan pada galndula throidea, 21 bulan setelah terapi: tidak tampak residual/resididf mass pada dinding dada sinistra et dextra, tidak tampak metastasis pada skeletal, tidak tampak pulmonal metastasis</t>
  </si>
  <si>
    <t>Sri Budiati</t>
  </si>
  <si>
    <t>82kg/156cm</t>
  </si>
  <si>
    <t>hipertensi</t>
  </si>
  <si>
    <t xml:space="preserve">ER: positif/ (+) 
PR: positif (+) 
HER2: Negatif/ (+1)
Ki67: indeks proliferasi (+/- 60%).  HER2 enriched 
</t>
  </si>
  <si>
    <t xml:space="preserve">Carboplatin inj 460 mg/45 mL 
Paclitaxel inj 100 mg/16.7 mL
Paclitaxel inj 30 mg/5 mL 
</t>
  </si>
  <si>
    <t xml:space="preserve">Tenggorokan gatal nyeri disertai batuk (sinar ke-16) 
Tenggorokan kering (sinar ke-20) 
Tenggorokan sakit (sinar ke-22) 
Tenggorokan nyeri dan batuk 9sinar ke-25)
Kulit mengelupas  
</t>
  </si>
  <si>
    <t xml:space="preserve">1 bulan setelah terapi: massa solid di mammae sinistra, simple cyst mammae sinistra, seroma minimal di suprasutura dan infrasutura dinding dada dextra aspek lateral, 2 bulan setelah terapi: tak tampak abdominal metastasis, tidak tampak pulmonal metastasis, ada proses metastasis osteoblastic </t>
  </si>
  <si>
    <t xml:space="preserve">7 bulan setelah terapi: fibroadnoma mammae sinistra, seroma minimal di suprasutura dan infrasutura dinding dada dextra aspek lateral, 9 bulan setelah terapi: multipe osteoblastic skeletal metastasis </t>
  </si>
  <si>
    <t xml:space="preserve">Dyah Whoro Astuti  </t>
  </si>
  <si>
    <t>65kg/150cm</t>
  </si>
  <si>
    <t xml:space="preserve">Anemia gravis 
Ulkus kronik malignat 
Fatty liver 
</t>
  </si>
  <si>
    <t xml:space="preserve">ER: positif/ (+) 
PR:   positif/ (+)
HER2: positif/ (+3)
Ki67: indeks proliferasi (+/- 70%).       Luminal B, HER2 Positive 
</t>
  </si>
  <si>
    <t xml:space="preserve">Docetaxel 20mg/5mL 
Docetaxel 80mg/2mL 
Epirubicin 50 mg/25 mL
</t>
  </si>
  <si>
    <t xml:space="preserve">Agranulocytosis, anemia, sesak napas, wajah merah </t>
  </si>
  <si>
    <t xml:space="preserve">1 bulan setelah terapi: soft tissue swelling disertai seroma pada axillary tail sinistra, tidak ada residual/resididf mass pada dinding dada sinistra, </t>
  </si>
  <si>
    <t xml:space="preserve">10 bulan setelah terapi: tidak tampak residual/residif mass pada dinding dada sinistra, 11 bulan setetelah terapi: tidak ada kelainan pada abdomen, 13 bulan setelah terapi: tidak tampak pulmonal metastasis, 18 bulan setelah terapi: tak tampak residual/residif mass pada dinding dada sinistra, 19 bulan setelah terapi: tidak ada kelainan pada abdomen, 20 bulan setelah terapi: tidak tampak pulmonal metastasis </t>
  </si>
  <si>
    <t xml:space="preserve">Tamofen tab 10 mg 
</t>
  </si>
  <si>
    <t xml:space="preserve">Rumti Sumarni  </t>
  </si>
  <si>
    <t>39kg/150cm</t>
  </si>
  <si>
    <t xml:space="preserve">Ca Mammae dextra  </t>
  </si>
  <si>
    <t>pT2N2aMx</t>
  </si>
  <si>
    <t xml:space="preserve">ER: positif/ (+) 
PR: negative (-) 
HER2: positif/ (+3)
Ki67: indeks proliferasi (+/- 60%) 
Luminal B, HER 2 positif 
</t>
  </si>
  <si>
    <t xml:space="preserve">Carboplatin 10mg/5mL 15 mL 
Paclitaxel 100mg/16.7 mL 
</t>
  </si>
  <si>
    <t>Lecet (sinar ke-9,21,24)</t>
  </si>
  <si>
    <t xml:space="preserve">2 bulan setelah terapi: lesi hypoechoic regio aksila dextra mengarah subcutaneous absen, tidak tampak residual/resididf mass pada dinding dada dextra, 6 bulan setelah terapi: tidak ada masalah pada abdomen, tidak ada metastasis pada tulang </t>
  </si>
  <si>
    <t>15 bulan setelah terapi: multiple nodul pulmo bilateral mengatah nodula type pulmonal metastasis</t>
  </si>
  <si>
    <t>goserelin asetat inj 3.6 mg anastrazole tab 1mg</t>
  </si>
  <si>
    <t>Lutfi Indriana</t>
  </si>
  <si>
    <t>65kg/153cm</t>
  </si>
  <si>
    <t xml:space="preserve">ER: positif/ (+) 
PR:  positif/ (+)
HER2: positif/ (+3)
Ki67: indeks proliferasi (+/- 40%).    Luminal B, HER2 Positive 
</t>
  </si>
  <si>
    <t xml:space="preserve">Doxorubicin 70 mL 
Brexel (docetaxel) 130 mL 
</t>
  </si>
  <si>
    <t>Lecet (sinar ke-23,25)</t>
  </si>
  <si>
    <t xml:space="preserve">8 bulan setelah terapi: multiple breast mass sinistra, tidak tampak kelainan di dinding dada anterior dextra, 9 bulan setelah terapi: adanya proses metastasis osteoblastic </t>
  </si>
  <si>
    <t xml:space="preserve">Tamofeb tab 10 mg </t>
  </si>
  <si>
    <t>Yantini</t>
  </si>
  <si>
    <t>60kg/157cm</t>
  </si>
  <si>
    <t>CT4BN1M0</t>
  </si>
  <si>
    <t xml:space="preserve">ER: positif/ (+) 
PR:  positif/ (+)
HER2: negative/ (+1)
Ki67: indeks proliferasi (+/- 80%).     Luminal B, HER2 Negative  
</t>
  </si>
  <si>
    <t xml:space="preserve">(siklus 1-4) 
Doxorubicin 50mg/25 mL
Endoxan (cyclophosphamide) 200mg 
(siklus 5-6) 
Paclitaxel
</t>
  </si>
  <si>
    <t xml:space="preserve">Nyeri telan, sulit tidur (sinar ke-17) </t>
  </si>
  <si>
    <t xml:space="preserve">2 bulan setelah terapi: tak tampak residual/residif mass pada dinding dada dextra et sinistra, </t>
  </si>
  <si>
    <t xml:space="preserve">7 bulan setelah terapi: tak tampak residual/residif mass pada dinding dada dextra et sinistra, 9 bulan setelah terapi: tidak tampak kelainan pada abdomen, 10 bulan setelah terapi: tidak tampak metastasis pada tulang, 16 bulan setelah terapi: complex cyst mammae sinistra, tidak tampak residual/residif mass pada dinding dada dextra et sinistra, 19 bulan setelah terapi: terdapat proses metastasis osteoblastic. </t>
  </si>
  <si>
    <t xml:space="preserve">tamofeb tab 10 mg  goserelin astetat inj 3.6 mg </t>
  </si>
  <si>
    <t>Listy Lestari</t>
  </si>
  <si>
    <t>48kg/147cm</t>
  </si>
  <si>
    <t xml:space="preserve">Hipertensi 
Gagal jantung/Heart failure 
</t>
  </si>
  <si>
    <t>CT4Bn3CM0</t>
  </si>
  <si>
    <t xml:space="preserve">ER: positif/ (+) 
PR: Negative/ (-)
HER2: Positif/ (+3)
Ki67: indeks proliferasi (+/- 5%) 
Luminal B-, HER 2 positive 
</t>
  </si>
  <si>
    <t xml:space="preserve">Paclitaxel 240 mL 
Carboplatin 400 mL 
</t>
  </si>
  <si>
    <t xml:space="preserve">Tidak bisa tidur, nafsu makan hilang (sinar ke-8) 
Tenggorokan gatal (sinar ke-9) 
Nyeri menelan (sinar ke-12) 
Batuk (sinar ke-21) 
Mulut pahit, nyeri telan (sinar ke-23)  
</t>
  </si>
  <si>
    <t>1 bulan setelah terapi: tidak tampak gambaran brain metastasis, 2 bulan setelah terapi: tidak tampak residual/residif mass pada dinding dada dextra et sinistra, 4 bulan setelah terapi: tidak tampak skeletal metastasis, 6 bulan setelah terapi: tidak tampak kelainan pada abdomen</t>
  </si>
  <si>
    <t>8 bulan setelah terapi: fatty fibroglandular breast dextra, tidak tampak malignancy,  9 bulan setelah terapi: tidak tampak skeletal metastasis. 10 bulan setelah terapi: tidak tampak residu/resididf mass pada dinding dada sinistra et dextra, 12 bulan setelah terapi: tidak tampak kelainan pada glandula thyroidea, 13 bulan setelah terapi: tidak ada metastasis pada abdomen, 14 bulan setelah terapi: tidak ada metastasis pada skeletal</t>
  </si>
  <si>
    <t xml:space="preserve">Letrozole tab 2.5 mg </t>
  </si>
  <si>
    <t xml:space="preserve">Endang Sulastri </t>
  </si>
  <si>
    <t>45kg/156cm</t>
  </si>
  <si>
    <t>T4N0Mx</t>
  </si>
  <si>
    <t xml:space="preserve">ER: positif/ (+) 
PR:  positif/ (+)
HER2: Negatif/ (-)
Ki67: indeks proliferasi (+/- 60%)    Luminal B, HER2 Negative
</t>
  </si>
  <si>
    <t xml:space="preserve">Doxorubicin 60mL 
Cyclophosphamide 600 mg 
</t>
  </si>
  <si>
    <t xml:space="preserve">Agranulocytosis, anemia, sariawan </t>
  </si>
  <si>
    <t xml:space="preserve">15x2 Gy (60 Gy) (chestwall)/ 25x2 Gy (50 Gy) (regional). 25x2 gy (50 Gy) Scar elektron </t>
  </si>
  <si>
    <t xml:space="preserve">Pegal  (sinar ke-8) 
Nyeri menelan (sinar ke-11,12) 
Batuk (sinar ke 13) 
Nyeri perut bawah (sinar ke-21) 
Mulut pahit, nyeri telan (sinar ke-23)  
Rembes cairan nanah dari bekas operaso (sinar ke-26) 
</t>
  </si>
  <si>
    <t>7 bulan setelah terapi: simple cyst ren dextra sesuai klasifikasi bosniak tipe 1, tidak tampak metastasis osteoblastic, 15 bulan setelah terapi: metastasis osteoblastic</t>
  </si>
  <si>
    <t>Kasilah</t>
  </si>
  <si>
    <t>72kg/152cm</t>
  </si>
  <si>
    <t xml:space="preserve">ER: Positif/ (+)  
PR:  Positif/ (+)  
HER2:Negatif/(0) 
Ki-67: indeks proliferasi +/- 15% 
Luminal A, HER2 Negative
</t>
  </si>
  <si>
    <t xml:space="preserve">(siklus 1-4)
Doxorubicin 70mL 
Paclitaxel 200 mg 
(siklus 5-6)
Paclitaxel 200 mg 
</t>
  </si>
  <si>
    <t xml:space="preserve">10x3 Gy (30 Gy) </t>
  </si>
  <si>
    <t>1 bulan setelah terapi: tidak tampak fraktur maupun dislokasi pada femur, 4 bulan setelah terapi: pasien mengalami metastasis osteoblastik</t>
  </si>
  <si>
    <t xml:space="preserve">Anastrazole tab 1 mg 
Zoledronic acid 4 mL/24 jam 
</t>
  </si>
  <si>
    <t xml:space="preserve">Ade Risna Subiyanti </t>
  </si>
  <si>
    <t>41kg/145cm</t>
  </si>
  <si>
    <t>T4BN2Mx</t>
  </si>
  <si>
    <t xml:space="preserve">ER: Positif/ (+)  
PR:  Positif/ (+)  
HER2:Negatif/(+1) 
Ki-67: indeks proliferasi +/- 80%  
Luminal B, HER2 Negative 
</t>
  </si>
  <si>
    <t xml:space="preserve">Doxorubicin 50mL
Cyclophosphamide 500 mg  
</t>
  </si>
  <si>
    <t>Agranulocytosis, anemia, lemas</t>
  </si>
  <si>
    <t xml:space="preserve">1 bulan setelah terapi: tidak tampak residual/residif mass pada dinding dada dextra, 3 bulan setelah terapi: tidak tampak skeletal metastasis, 6 bulan setelah terapi: tidak tampak residu/residif mass pada dinding dada dextra. </t>
  </si>
  <si>
    <t xml:space="preserve">9 bulan setelah terapi: nodul dengan cavitas paracardial dextra suspek type pulmonal metastasis, tenting diafragma dextra, 12 bulan setelah terapi: nodul dengan cavitas paracardial dextra suspek type pulmonal metastasis, tenting diafragma dextra. </t>
  </si>
  <si>
    <t xml:space="preserve">Goserelin acetate inj 3.6 mg 
Tamoxifen tab 10 mg  
Capecitabine tab 500 mg 
</t>
  </si>
  <si>
    <t>Dewi Rey Astra</t>
  </si>
  <si>
    <t>46kg/150cm</t>
  </si>
  <si>
    <t>T2N1aMx</t>
  </si>
  <si>
    <t xml:space="preserve">ER: Positif/ (+)  
PR:  Positif/ (+)  
HER2:Positif/(+3) 
Ki-67: indeks proliferasi +/- 5% 
Luminal B, HER2 Positif 
</t>
  </si>
  <si>
    <t xml:space="preserve">Doxorubicin 60mL
Docetaxel 100 mL 
</t>
  </si>
  <si>
    <t>Agranulocytosis, anemia,</t>
  </si>
  <si>
    <t xml:space="preserve">30x2 Gy (60 Gy) (chestwall). 25x2 Gy (50 Gy) (regional) </t>
  </si>
  <si>
    <t>2 bulan setelah terapi: tidak tampak residual/residif mass pada dinding dada dextra, tidak ada kelainan pada mammae sinistra, 3 bulan setelah terapi: tidak tampak tanda metastasis, 5 bulan setelah terapi:  tidak tampak metastasis osteoblastik/</t>
  </si>
  <si>
    <t xml:space="preserve">9 bulan setelah terapi: tidak tampak pulmonal metastasis, 10 bulan setelah terapi: fibroadenoma mammae sinistra, tidak tampak residu/resididf mass dinding mammae dextra,  11 bulan setelah terapi tidak tampak kelainan abdomen dan tidak tampak metastasis tulang, 14 bulan setelah terapi: parotis sinistra dengan lesi intraglandular, 15 bulan setelah terapi: cyst haper lobus dextra, tidak tampak kelainan pada abdomen. </t>
  </si>
  <si>
    <t>tamoxifen tab 10 mg</t>
  </si>
  <si>
    <t>Tri Yuni Wuryandari</t>
  </si>
  <si>
    <t>61kg/158cm</t>
  </si>
  <si>
    <t xml:space="preserve">ER: Positif/ (+)  
PR:  Positif/ (+)  
HER2:Negative/(0) 
Ki-67: indeks proliferasi +/- 60%
Luminal B, HER2 Negative
</t>
  </si>
  <si>
    <t xml:space="preserve">Epirubicin 100 mg 
Cyclophosphamide 820g 
5 fu 820 mg 
</t>
  </si>
  <si>
    <t xml:space="preserve">Mual setelah makan (sinar ke-8) 
hitam di area radiasi, terkadang gatal (sinar ke-18,23)
</t>
  </si>
  <si>
    <t>2 bulan setelah terapi: tidak tampak residual/residif mass pada dinding dada sinistra, tidak tampak kelainan pada mammae dextra, 3 bulan setelah terapi: tidak ada kelainan pada abdomen, 4 bulan setelah terapi: tidak tampak skeletal metastasis</t>
  </si>
  <si>
    <t>9 bulan setelah terapi: tidak tampak residual/residif mass pada dinding dada sinistra, 10 bulan setelah terapi: tidak tampak kelainan pada abdomen, 13 bulan setelah terapiL tidak tampak metastasis skeletal, 17 bulan setelah terapi: osteoblastic type skeletal metastasis.</t>
  </si>
  <si>
    <t xml:space="preserve">Tamoxifen tab 10 mg  
Goserelin acetate inj 3.6 mg/vial 
</t>
  </si>
  <si>
    <t xml:space="preserve">Ngatini   </t>
  </si>
  <si>
    <t>57kg/141cm</t>
  </si>
  <si>
    <t>DM, fatty liver</t>
  </si>
  <si>
    <t xml:space="preserve">pT1cN1aMx </t>
  </si>
  <si>
    <t xml:space="preserve">ER: Negatif/ (-)  
PR:  Negatif/ (-)  
HER2:Positif/(+3) 
Ki-67: indeks proliferasi +/- 30% 
Luminal A, HER2 enriched
</t>
  </si>
  <si>
    <t xml:space="preserve">Paclitaxel 210 mL 
Pacllitaxel 30 mL 
Carboplatin 350 mL
</t>
  </si>
  <si>
    <t>Nyeri telan (sinar ke-11)</t>
  </si>
  <si>
    <t>1 bulan setelah terapi: tidak tampak kelainan pada abdomen dan tidak tampak pulmonal metastasis, tidak tampak skeletal metastasis, 3 bulan setelah terapi: tidak tampak residual/residif mass pada dinding dada sinistra et dextra, 6 bulan setelah terapi: tidak tampak kelainan pada abdomen.</t>
  </si>
  <si>
    <t xml:space="preserve">7 bulan setelah terapi: tidak tampak skeletal metastasis dan tidak tampak pulmonal metastasis, 10 bulan setelah terapi: tidak tampak residual/resididf mass pada dinding dada sinistra et dextra, 13 bulan setelah terapi: focal nodul kanan hepar suspek hepatal metastasis dd sparing fatty liver, kemudian dilakukan MSCT abdomen simple spenic cyst, tidak tampak metastasis pada abdomen, 14 bulan setelah terapi: tidak tampak pulmonal metastasis </t>
  </si>
  <si>
    <t>Supartini</t>
  </si>
  <si>
    <t>52kg/163cm</t>
  </si>
  <si>
    <t xml:space="preserve">Hipertensi </t>
  </si>
  <si>
    <t xml:space="preserve">ER:   Positive/ (+)  
PR:   Positive/ (+)  
HER2:Positive/(+3) 
Ki-67: indeks proliferasi +/- 30% 
Luminal B, Her2 positive 
</t>
  </si>
  <si>
    <t>6/9//2022</t>
  </si>
  <si>
    <t xml:space="preserve">Doxorubicin (50mg/25 mL) 50 mL/24 jam 70 mg 
Docetaxel (80mg/2 mL) 80 mL/24 jam 100 mg 
</t>
  </si>
  <si>
    <t xml:space="preserve">25x2 Gy (50 Gy) (regional)+ 5x2 Gy (10 Gy) (booster) </t>
  </si>
  <si>
    <t xml:space="preserve">Radiodermatitis   </t>
  </si>
  <si>
    <t>1 bulan setelah terapi: tak tampak residu/residf mass pada dinding dada dextra et sinistra. 2 bulan setelah terapi: tak tampak pulmonal metastasi</t>
  </si>
  <si>
    <t>9 bulan setelah terapi: tak tampak kelainan pada abdomen, 10 bulan setelah terapi: tak tampak pulmonal metastasis, 13 bulan setelah terapi: tak tampak residu/resididf mass pada dinding dada dextra, 15 bulan setelah terapi: tak tampak kelainan pada abdomen, 16 bulan setelah terapi: osteoclastic tipe skeletal metastasis</t>
  </si>
  <si>
    <t xml:space="preserve">Ismi Asih </t>
  </si>
  <si>
    <t>83kg/164cm</t>
  </si>
  <si>
    <t xml:space="preserve">Aritmia </t>
  </si>
  <si>
    <t xml:space="preserve">pT4N1Mx </t>
  </si>
  <si>
    <t xml:space="preserve">ER:   Positive/ (+)  
PR:   Positive/ (+)  
HER2:Negative/(+3) 
Ki-67: indeks proliferasi +/- 50% 
Luminal B, HER2 Negative
</t>
  </si>
  <si>
    <t xml:space="preserve">(siklus 1-4)
Cyclophosphamide (200 mg) 900mg 
Doxorubicin (50mg/25 mL) 90 mg 
(siklus 5-8)
Docetaxel (80mg/8 mL) 100 mg 
</t>
  </si>
  <si>
    <t xml:space="preserve">Lecet pada leher (sinar ke-25) 
Gatal pada leher (sinar ke-25) 
</t>
  </si>
  <si>
    <t>2 bulan setelah terapi: tak tampak skeletal metastasis osteoblastic, tidak tampak residu/residif mass di dinding dada dextra, 4 bulan setelah terapi: tak tampak pulmonal metastasis dan tidak tampak kelainan pada abdomen, 6 bulan setelah terapi: limfonodi reaktif axilla dextra (locoregional)</t>
  </si>
  <si>
    <t xml:space="preserve">7 bulan setelah terapi: fatty lobule jam 1 mammae sinistra, tak tampak residu/residif mass di dinding dada dextra, 10 bulan setelah terapi: tak tampak residu/residif mass di dinding dda dextra, tak tampak skeletal metastasis, 12 bulan setelah terapi: tak tampak metastasis pada abdomen, 14 bulan setelah terapi: tak tampak skeletal metastasis. </t>
  </si>
  <si>
    <t xml:space="preserve">Tamoxifen tab 10 mg
Goserelin acetate inj 3.6 mg
</t>
  </si>
  <si>
    <t xml:space="preserve">Ponjinem  </t>
  </si>
  <si>
    <t>45kg/150cm</t>
  </si>
  <si>
    <t xml:space="preserve">pT2N1aMx </t>
  </si>
  <si>
    <t xml:space="preserve">ER:   Positive/ (+)  
PR:   Positive/ (+)  
HER2:Negative/(+1) 
Ki-67: indeks proliferasi +/- 30% 
Luminal B, HER2 Negative
</t>
  </si>
  <si>
    <t xml:space="preserve">Paclitaxel  (100 mg) 200 mL 
Carboplatin(450 mg) 350 mL  
</t>
  </si>
  <si>
    <t>1 bulan setelah terapi: fibrosis perisutura dextra (locoregional), tak tampak kelainan pada sinistra, 3 bulan setelah terapi: tak tampak skeletal metastasis, 4 bulan setelah terapi: tak tampak pulmonal metastasis, 5 bulan setelah terapi: tak tampak kelainan abdomen.</t>
  </si>
  <si>
    <t>8 bulan setelah terapi: fibrosis perisutura dextra (locoregional), 11 bulan setelah terapi: tak tampak pulmonal metastasis.</t>
  </si>
  <si>
    <t xml:space="preserve">Rubiyanti </t>
  </si>
  <si>
    <t>75kg/152cm</t>
  </si>
  <si>
    <t xml:space="preserve">pT4aNxMx </t>
  </si>
  <si>
    <t xml:space="preserve">ER:   Positive/ (+)  
PR:   Positive/ (+)  
HER2:Negative/(0) 
Ki-67: indeks proliferasi +/- 30% 
Luminal B, HER2 Negative
</t>
  </si>
  <si>
    <t xml:space="preserve">(siklus 1-2)
Epirubicin (50mg/25 mL) 120 mg/24 jam 
Cyclophosphamide (200 mg) 800 mg/24 jam
(siklus 3-4) 
Epirubicin 120 mg 
Paclitaxel 250 mg  
(siklus 5-6)
Paclitaxel 250 mg  
</t>
  </si>
  <si>
    <t>2 bulan setelah terapi: tak tampak pulmonal metastasis, 3 bulan setelah terapi: multiple fibroadenoma mammae dextra (locoregional).</t>
  </si>
  <si>
    <t>7 bulan setelah terapi: tak tampak kelainan pada abdomen, 8 bulan setelah terapi: fibroadenoma pada mammae dextra, 9 bulan setelah terapi: tidak tampak kelainan pada abdomen, 10 bulan setelah terapi: tidak tampak kelainan pada pulmonal metastasis</t>
  </si>
  <si>
    <t>Purjinem</t>
  </si>
  <si>
    <t>46kg/149cm</t>
  </si>
  <si>
    <t>ypT2aN0Mx</t>
  </si>
  <si>
    <t xml:space="preserve">ER:   Positive/ (+)  
PR:   Positive/ (+)  
HER2: Positive/ (3+) 
Ki-67: indeks proliferasi +/- 60% 
Luminal B, HER2 Positive
</t>
  </si>
  <si>
    <t xml:space="preserve">Carboplatin (150mg/15 mL) 300 mg 
Paclitaxel (100mg/16.7 mL) 180 mg  
</t>
  </si>
  <si>
    <t xml:space="preserve">Pegal (sinar ke-11)  </t>
  </si>
  <si>
    <t>1 bulan setelah terapi: seroma perisutura dinding dada dextra (locoregional), tak tampak kelainan pada mammae sinistra, tidak tampak skeletal metastasis, 2 bulan setelah terapi: tidak tampak pulmonal metastasis, 5 bulan setelah terapi: tak tampak kelainan abdomen, 6 bulan setelah terapi: tak tampak residu/residif mass dinding dada dextra.</t>
  </si>
  <si>
    <t>8 bulan setelah terapi: tak tampak skeletal metastasis, 9 bulan setelah terapi: tak tampak pulmonal metastasis, 10 bulan setelah terapi: tak tampak kelainan pada abdomen.</t>
  </si>
  <si>
    <t xml:space="preserve">Djena Reyaan </t>
  </si>
  <si>
    <t>69kg/148cm</t>
  </si>
  <si>
    <t>pT4aNxMx</t>
  </si>
  <si>
    <t xml:space="preserve">ER:   Positive/ (+)  
PR:   Positive/ (+)  
HER2: Positive /(+3) 
Ki-67: indeks proliferasi +/- 80% 
Luminal B, HER2  Positive
</t>
  </si>
  <si>
    <t xml:space="preserve">(siklus 1-4)
Doxorubicin (50mg/25 mL) 80 mL 
Cyclophopshamide (200mg) 800 mg 
(siklus 5-6) 
Docetaxel (20mg/5mL) 90 mL 
</t>
  </si>
  <si>
    <t xml:space="preserve">Nyeri lutut (sinar ke-3) 
Selangkangan gatal dan lecet (sinar ke-11) 
Lecet dan nyeri menelan (sinar ke-20)
Radiodermatitis 
</t>
  </si>
  <si>
    <t>2 bulan setelah terapi: edema cutis dan subcutis regio axillary tail dextra (locoregional, 2 bulan setelah terapi: tak tampak pulmonal metastasis, 3 bulan setelah terapi: metastasis osteoblastic pada proyeksi os costae IV, V, VI, VII dextra os illium dextra.</t>
  </si>
  <si>
    <t>Sukarsih</t>
  </si>
  <si>
    <t xml:space="preserve">Ca Mammae dextra nodal metastasis di axilla sinistra </t>
  </si>
  <si>
    <t xml:space="preserve">ER:   Positive/ (+)  
PR:   Positive/ (+)  
HER2: Positive /(+3) 
Ki-67: indeks proliferasi +/- 40% 
Luminal B, HER2  Positive
</t>
  </si>
  <si>
    <t>MRM dextra+rekonstruksi flap, diseksi axilla sinistra</t>
  </si>
  <si>
    <t xml:space="preserve">(siklus 1-4)
Doxorubicin (10mg/5 mL &amp; 50mg/25 ml)  70 mL 
Cyclophosphamide (200 mg) 700 mg  
(siklus 5-8) 
Docetaxel 100 mL (10mg/5 mL)
</t>
  </si>
  <si>
    <t xml:space="preserve">Mual (sinar ke-6) 
Sulit menelan (sinar ke-10) 
Sulit menelan, terasa gatal, lecet di area sinar (sinar ke-26) 
</t>
  </si>
  <si>
    <t>1 bulan setelah terapi: tak tampak kelainan pada abdomen, tak tampak residual/residif mass pada dinding dada dextra, 4 bulan setelah terapi: tak tampak skeletal metastasis, 5 bulan setelah terapi: seroma dinding dada dekstra aspek lateral (locoregional), fibrosis axillary dekstra, 6 bulan setelah terapi: tak tampak pulmonal metastasis</t>
  </si>
  <si>
    <t>8 bulan setelah terapi: tak tampak kelainan pada abdomen, 9 bulan setelah terapi: tak tampak kelainan pada pulmonal metastasis, 10 bulan setelah terapi: tak tampak kelainan pada skeletal</t>
  </si>
  <si>
    <t xml:space="preserve">Tamoxifen tab 10 mg 
Goserelin acetate inj 3.6 mg/vial 
</t>
  </si>
  <si>
    <t>Rustikhajari</t>
  </si>
  <si>
    <t>63kg/155cm</t>
  </si>
  <si>
    <t>ypT0N0Mx</t>
  </si>
  <si>
    <t xml:space="preserve">ypT0N0Mx </t>
  </si>
  <si>
    <t xml:space="preserve">ER:   Negative/ (-)  
PR:    Negative/ (-)  
HER2:  Negative  /(0) 
Ki-67: indeks proliferasi +/- 70% 
Triple Negative
</t>
  </si>
  <si>
    <t xml:space="preserve">Doxorubicin 70 mL 
Docetaxel 110 mL 
</t>
  </si>
  <si>
    <t xml:space="preserve">Mual (sinar ke-3,5, 8) </t>
  </si>
  <si>
    <t>4 bulan setelah terapi: tak tampak pulmonal metastasis.</t>
  </si>
  <si>
    <t xml:space="preserve">9 bulan setelah terapi: pneumoc type dan cannon ball pulmonal metastasis pulmo dextra </t>
  </si>
  <si>
    <t xml:space="preserve">Tujiyem </t>
  </si>
  <si>
    <t>43kg/150cm</t>
  </si>
  <si>
    <t>ypT4bN0Mx</t>
  </si>
  <si>
    <t xml:space="preserve">ER:   Positif/ (+)  
PR:   Positif/ (+)  
HER2:  Negative/ (+1)
Ki-67: indeks proliferasi +/- 90% 
Luminal B, HER2 Negatif
</t>
  </si>
  <si>
    <t xml:space="preserve">MRM dextra </t>
  </si>
  <si>
    <t xml:space="preserve">(siklus 1-5)
Doxorubicin 60 mL 
Cyclophosphamide 600 mg 
(siklus 6-8)
Docetaxel 100 mL 
</t>
  </si>
  <si>
    <t xml:space="preserve">Diare, mual muntah (sinar ke-5) 
Mual, muntah (sinar ke-8)
Muntah (sinar ke-10,13, 15) 
Mual, muntah, tidak nafsu makan (sinar ke-11)  
Mual, nafsu makan turun (sinar ke-17) 
</t>
  </si>
  <si>
    <t>1 bulan setelah terapi: tidak tampak pulmonal metastasis, 3 bulan setelah terapi: tidak tampak kelainan pada abdomen, 5 bulan setelah terapi: tak tampak residual/residif mass pada dinding dada dekstra.</t>
  </si>
  <si>
    <t>7 bulan setelah terapi: tak tampak pulmonal metastasis, 10 bulan setelah terapi: tidak tampak kelainan abdomen, 11 bulan setelah terapi: tak tampak residual/residif mass pada dinding dada dekstra</t>
  </si>
  <si>
    <t xml:space="preserve">Tamoxifen tab 10 mg 
Goserelin acetate inj 3/6 mg/vial
</t>
  </si>
  <si>
    <t>Ratmi</t>
  </si>
  <si>
    <t>45kg/153cm</t>
  </si>
  <si>
    <t xml:space="preserve">ER:   Negatif/(-)  
PR:   Negatif/(-)  
HER2:  Negative/ (0)
Ki-67: indeks proliferasi  20% 
Triple Negatif 
</t>
  </si>
  <si>
    <t xml:space="preserve">(siklus 1-2)
Epirubicin 100 mg 
Cyclophosphamide 500 mg  
(siklus 3-5)
Epirubicin 100 mg 
Paclitaxel 200 mL 
(siklus 6) 
Paclitaxel 200 mL
</t>
  </si>
  <si>
    <t xml:space="preserve">Kaki terasa pegal (sinar ke-14,15)  </t>
  </si>
  <si>
    <t>1 bulan setelah terapi: tak tampak residual mass pada dinding dada sinistra, 2 bulan setelah terapi: tak tampak metastasis osteoblastic, 6 bulan setelah terapi: lesi hypoechoic pada retopapil mammae dextra yang meluas (locoregional), tidak tampak pulmonal metastasis.</t>
  </si>
  <si>
    <t>7 bulan setelah terapi: tidak tampak pulmonal metastasis, 9 bulan setelah terapi: tak tampak kelainan pada abdomen, 10 bulan setelah terapi: tak tampak pulmonal metastasis.</t>
  </si>
  <si>
    <t xml:space="preserve">Metotreksat 2.5 mg </t>
  </si>
  <si>
    <t xml:space="preserve">Budi Hartati </t>
  </si>
  <si>
    <t>83kg/158cm</t>
  </si>
  <si>
    <t>ypT2N1aMx</t>
  </si>
  <si>
    <t xml:space="preserve">ER:   Negatif/(-)  
PR:   Negatif/(-)  
HER2:  Positif/ (+3)
Ki-67: indeks proliferasi  40% 
HER2 enriched 
</t>
  </si>
  <si>
    <t xml:space="preserve">Doxorubicin 70 mL (50 mg/m2)
Docetaxel 110 mL (75 mg/m2) 
</t>
  </si>
  <si>
    <t xml:space="preserve">Pusing (sinar ke-6,7)
Tenggorokan terasa kering (sinar ke-18)
Nyeri telan (sinar ke-20)   
</t>
  </si>
  <si>
    <t>8 bulan setelah terapi: tak tampak kelainan/metastasis pada abdomen, 13 bulan setelah terapi: residu residif mass dinding dada line midaxila sinistra, tidak ada kelainan pada mammae dextra, 14 bulan setelah terapi: tak tampak pulmonal metastasis</t>
  </si>
  <si>
    <t xml:space="preserve">Lia Maulida  </t>
  </si>
  <si>
    <t>68kg/165cm</t>
  </si>
  <si>
    <t xml:space="preserve">ypT4aN2aMx </t>
  </si>
  <si>
    <t xml:space="preserve">ER:   Positif/ (+)   
PR:   Negatif/(-)  
HER2:   Negatif/(-)  
Ki-67: indeks proliferasi  15% 
Luminal A, HER2 Negatif 
</t>
  </si>
  <si>
    <t xml:space="preserve">Epirubicin 100 mg
Cyclophosphamide 600 mg 
</t>
  </si>
  <si>
    <t xml:space="preserve">Gatal pada area radiasi (sinar ke-22)   </t>
  </si>
  <si>
    <t xml:space="preserve">2 bulan setelah terapi: adanya metastasis osteoblastic </t>
  </si>
  <si>
    <t xml:space="preserve">Tamoxifen tab 10 mg 
Goserelin acetate inj3.6 mg 
</t>
  </si>
  <si>
    <t xml:space="preserve">Giyem  </t>
  </si>
  <si>
    <t>49kg/150cm</t>
  </si>
  <si>
    <t xml:space="preserve">Ca Mammae dekstra </t>
  </si>
  <si>
    <t xml:space="preserve">DM </t>
  </si>
  <si>
    <t xml:space="preserve">ypT4abN2aMx </t>
  </si>
  <si>
    <t xml:space="preserve">ER:   Positif/ (+)   
PR:    Positif/ (+)   
HER2:   Negatif/(+1)  
Ki-67: indeks proliferasi  70% 
Luminal B, HER2 Negatif 
</t>
  </si>
  <si>
    <t xml:space="preserve">(siklus 1-2)
Epirubicin 100 mg
Cyclophosphamide 600 mg 
(siklus 3-5)
Epirubicin 100 mL 
Paclitaxel 230 mL 
(siklus 6) 
Paclitacel 230 mL 
</t>
  </si>
  <si>
    <t xml:space="preserve">Luka melebar (sinar ke-22) 
Radiodermatitis    
</t>
  </si>
  <si>
    <t xml:space="preserve">1 bulan setelah terapi: adanya metastasis osteoblastic </t>
  </si>
  <si>
    <t>Suciati</t>
  </si>
  <si>
    <t>46kg/137cm</t>
  </si>
  <si>
    <t>ypT4abN2aMx</t>
  </si>
  <si>
    <t xml:space="preserve">ER:   Positif/ (+)   
PR:   Negatif/ (-)   
HER2:   Negatif/(0)  
Ki-67: indeks proliferasi  30% 
Luminal B, HER2 Negatif </t>
  </si>
  <si>
    <t xml:space="preserve">Paclitaxel 160 mL 
Carboplatin 280 mL </t>
  </si>
  <si>
    <t xml:space="preserve">Kaku payudara sebelah kanan (sinar ke-6) </t>
  </si>
  <si>
    <t xml:space="preserve">2 bulan setelah terapi: tak tampak residu/resididf mass pada mammae dextra et sinistra, adanya metastasis osteoblastik </t>
  </si>
  <si>
    <t>Tamoxifen tab 10 mg 
Goserelin acetate inj 3.6 mg</t>
  </si>
  <si>
    <t>Efektivitas 6 Bulan selanjutnya</t>
  </si>
  <si>
    <t>Efektivitas 6</t>
  </si>
  <si>
    <t>Efektivitas 12</t>
  </si>
  <si>
    <t>Efektivitas</t>
  </si>
  <si>
    <t>tidak ada</t>
  </si>
  <si>
    <t>Usia</t>
  </si>
  <si>
    <t>Pembedahan</t>
  </si>
  <si>
    <t>Ulkus kronik</t>
  </si>
  <si>
    <t>Hemiparesis sinistra</t>
  </si>
  <si>
    <t>Hemiplegia</t>
  </si>
  <si>
    <t>Aritmia</t>
  </si>
  <si>
    <t>Gagal Jantung</t>
  </si>
  <si>
    <t>Kholelitiasis</t>
  </si>
  <si>
    <t>Nyeri Sendi</t>
  </si>
  <si>
    <t>Leg Pain</t>
  </si>
  <si>
    <t>Low Back Pain</t>
  </si>
  <si>
    <t>Hypoalbuminemia</t>
  </si>
  <si>
    <t>Hiponatremia</t>
  </si>
  <si>
    <t>Liver</t>
  </si>
  <si>
    <t>Stadium Level</t>
  </si>
  <si>
    <t>Ukuran Tumor</t>
  </si>
  <si>
    <t>Getah Bening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</si>
</sst>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m/yyyy"/>
  </numFmts>
  <fonts count="6" x14ac:knownFonts="1">
    <font>
      <sz val="11"/>
      <color theme="1"/>
      <name val="Calibri"/>
      <family val="2"/>
      <scheme val="minor"/>
    </font>
    <font>
      <b/>
      <sz val="10"/>
      <color theme="1"/>
      <name val="Times New Roman"/>
      <family val="1"/>
    </font>
    <font>
      <sz val="10"/>
      <color theme="1"/>
      <name val="Times New Roman"/>
      <family val="1"/>
    </font>
    <font>
      <sz val="10"/>
      <color rgb="FF000000"/>
      <name val="Times New Roman"/>
      <family val="1"/>
    </font>
    <font>
      <sz val="12"/>
      <color theme="1"/>
      <name val="Calibri"/>
      <family val="2"/>
    </font>
    <font>
      <sz val="10"/>
      <color theme="1"/>
      <name val="Calibri"/>
      <family val="2"/>
      <scheme val="minor"/>
    </font>
  </fonts>
  <fills count="4">
    <fill>
      <patternFill patternType="none"/>
    </fill>
    <fill>
      <patternFill patternType="gray125"/>
    </fill>
    <fill>
      <patternFill patternType="solid">
        <fgColor rgb="FFFF9900"/>
        <bgColor rgb="FFFF9900"/>
      </patternFill>
    </fill>
    <fill>
      <patternFill patternType="solid">
        <fgColor rgb="FF4A86E8"/>
        <bgColor rgb="FF4A86E8"/>
      </patternFill>
    </fill>
  </fills>
  <borders count="3">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4">
    <xf numFmtId="0" fontId="0" fillId="0" borderId="0" xfId="0"/>
    <xf numFmtId="0" fontId="1" fillId="2" borderId="0" xfId="0" applyFont="1" applyFill="1" applyAlignment="1">
      <alignment horizontal="center"/>
    </xf>
    <xf numFmtId="0" fontId="2" fillId="0" borderId="2" xfId="0" applyFont="1" applyBorder="1" applyAlignment="1">
      <alignment horizontal="left" vertical="top"/>
    </xf>
    <xf numFmtId="164" fontId="2" fillId="3" borderId="2" xfId="0" applyNumberFormat="1" applyFont="1" applyFill="1" applyBorder="1" applyAlignment="1">
      <alignment vertical="top"/>
    </xf>
    <xf numFmtId="0" fontId="1" fillId="2" borderId="1" xfId="0" applyFont="1" applyFill="1" applyBorder="1" applyAlignment="1">
      <alignment horizontal="center"/>
    </xf>
    <xf numFmtId="0" fontId="1" fillId="2" borderId="1" xfId="0" applyFont="1" applyFill="1" applyBorder="1"/>
    <xf numFmtId="0" fontId="1" fillId="2" borderId="2" xfId="0" applyFont="1" applyFill="1" applyBorder="1" applyAlignment="1">
      <alignment horizontal="center"/>
    </xf>
    <xf numFmtId="0" fontId="2" fillId="0" borderId="2" xfId="0" applyFont="1" applyBorder="1"/>
    <xf numFmtId="164" fontId="2" fillId="0" borderId="2" xfId="0" applyNumberFormat="1" applyFont="1" applyBorder="1"/>
    <xf numFmtId="0" fontId="2" fillId="0" borderId="2" xfId="0" applyFont="1" applyBorder="1" applyAlignment="1">
      <alignment horizontal="left"/>
    </xf>
    <xf numFmtId="0" fontId="2" fillId="0" borderId="2" xfId="0" applyFont="1" applyBorder="1" applyAlignment="1">
      <alignment vertical="center"/>
    </xf>
    <xf numFmtId="165" fontId="2" fillId="0" borderId="2" xfId="0" applyNumberFormat="1" applyFont="1" applyBorder="1"/>
    <xf numFmtId="14" fontId="2" fillId="0" borderId="2" xfId="0" applyNumberFormat="1" applyFont="1" applyBorder="1"/>
    <xf numFmtId="0" fontId="2" fillId="0" borderId="2" xfId="0" applyFont="1" applyBorder="1" applyAlignment="1">
      <alignment vertical="top"/>
    </xf>
    <xf numFmtId="0" fontId="4" fillId="0" borderId="0" xfId="0" applyFont="1"/>
    <xf numFmtId="164" fontId="4" fillId="0" borderId="0" xfId="0" applyNumberFormat="1" applyFont="1"/>
    <xf numFmtId="0" fontId="2" fillId="3" borderId="2" xfId="0" applyFont="1" applyFill="1" applyBorder="1"/>
    <xf numFmtId="164" fontId="2" fillId="3" borderId="2" xfId="0" applyNumberFormat="1" applyFont="1" applyFill="1" applyBorder="1"/>
    <xf numFmtId="0" fontId="5" fillId="0" borderId="2" xfId="0" applyFont="1" applyBorder="1"/>
    <xf numFmtId="164" fontId="5" fillId="0" borderId="2" xfId="0" applyNumberFormat="1" applyFont="1" applyBorder="1"/>
    <xf numFmtId="0" fontId="5" fillId="0" borderId="0" xfId="0" applyFont="1"/>
    <xf numFmtId="0" fontId="3" fillId="0" borderId="2" xfId="0" applyFont="1" applyBorder="1"/>
    <xf numFmtId="0" fontId="2" fillId="0" borderId="2" xfId="0" applyFont="1" applyBorder="1" applyAlignment="1">
      <alignment wrapText="1"/>
    </xf>
    <xf numFmtId="0" fontId="2" fillId="0" borderId="2"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BAD77-872A-4763-A1F3-F4D868756CD7}">
  <dimension ref="A1:AX97"/>
  <sheetViews>
    <sheetView tabSelected="1" topLeftCell="AD1" workbookViewId="0">
      <selection activeCell="AJ11" sqref="AJ11"/>
    </sheetView>
  </sheetViews>
  <sheetFormatPr defaultRowHeight="14.5" x14ac:dyDescent="0.35"/>
  <cols>
    <col min="7" max="7" width="42.6328125" bestFit="1" customWidth="1"/>
    <col min="25" max="25" width="10.08984375" bestFit="1" customWidth="1"/>
    <col min="26" max="29" width="25.90625" customWidth="1"/>
    <col min="32" max="32" width="11.26953125" customWidth="1"/>
    <col min="33" max="33" width="18.90625" bestFit="1" customWidth="1"/>
    <col min="40" max="40" width="12.54296875" bestFit="1" customWidth="1"/>
    <col min="43" max="43" width="12.54296875" bestFit="1" customWidth="1"/>
    <col min="45" max="45" width="24.90625" customWidth="1"/>
    <col min="46" max="46" width="11.08984375" customWidth="1"/>
    <col min="50" max="50" width="61.1796875" bestFit="1" customWidth="1"/>
  </cols>
  <sheetData>
    <row r="1" spans="1:50" ht="14.5" customHeight="1" x14ac:dyDescent="0.35">
      <c r="A1" s="1" t="s">
        <v>23</v>
      </c>
      <c r="B1" s="5" t="s">
        <v>0</v>
      </c>
      <c r="C1" s="5" t="s">
        <v>1</v>
      </c>
      <c r="D1" s="5" t="s">
        <v>922</v>
      </c>
      <c r="E1" s="5" t="s">
        <v>2</v>
      </c>
      <c r="F1" s="5" t="s">
        <v>3</v>
      </c>
      <c r="G1" s="5" t="s">
        <v>4</v>
      </c>
      <c r="H1" s="5" t="s">
        <v>5</v>
      </c>
      <c r="I1" s="5" t="s">
        <v>91</v>
      </c>
      <c r="J1" s="5" t="s">
        <v>924</v>
      </c>
      <c r="K1" s="5" t="s">
        <v>595</v>
      </c>
      <c r="L1" s="5" t="s">
        <v>935</v>
      </c>
      <c r="M1" s="5" t="s">
        <v>925</v>
      </c>
      <c r="N1" s="5" t="s">
        <v>926</v>
      </c>
      <c r="O1" s="5" t="s">
        <v>927</v>
      </c>
      <c r="P1" s="5" t="s">
        <v>568</v>
      </c>
      <c r="Q1" s="5" t="s">
        <v>223</v>
      </c>
      <c r="R1" s="5" t="s">
        <v>928</v>
      </c>
      <c r="S1" s="5" t="s">
        <v>929</v>
      </c>
      <c r="T1" s="5" t="s">
        <v>930</v>
      </c>
      <c r="U1" s="5" t="s">
        <v>931</v>
      </c>
      <c r="V1" s="5" t="s">
        <v>932</v>
      </c>
      <c r="W1" s="5" t="s">
        <v>933</v>
      </c>
      <c r="X1" s="5" t="s">
        <v>934</v>
      </c>
      <c r="Y1" s="5" t="s">
        <v>6</v>
      </c>
      <c r="Z1" s="5" t="s">
        <v>7</v>
      </c>
      <c r="AA1" s="5" t="s">
        <v>936</v>
      </c>
      <c r="AB1" s="5" t="s">
        <v>937</v>
      </c>
      <c r="AC1" s="5" t="s">
        <v>938</v>
      </c>
      <c r="AD1" s="5" t="s">
        <v>8</v>
      </c>
      <c r="AE1" s="5" t="s">
        <v>9</v>
      </c>
      <c r="AF1" s="5" t="s">
        <v>923</v>
      </c>
      <c r="AG1" s="5" t="s">
        <v>10</v>
      </c>
      <c r="AH1" s="5" t="s">
        <v>11</v>
      </c>
      <c r="AI1" s="5" t="s">
        <v>12</v>
      </c>
      <c r="AJ1" s="5" t="s">
        <v>13</v>
      </c>
      <c r="AK1" s="5" t="s">
        <v>14</v>
      </c>
      <c r="AL1" s="5" t="s">
        <v>15</v>
      </c>
      <c r="AM1" s="5" t="s">
        <v>16</v>
      </c>
      <c r="AN1" s="5" t="s">
        <v>17</v>
      </c>
      <c r="AO1" s="5" t="s">
        <v>18</v>
      </c>
      <c r="AP1" s="5" t="s">
        <v>19</v>
      </c>
      <c r="AQ1" s="5" t="s">
        <v>20</v>
      </c>
      <c r="AR1" s="5" t="s">
        <v>21</v>
      </c>
      <c r="AS1" s="6" t="s">
        <v>24</v>
      </c>
      <c r="AT1" s="6" t="s">
        <v>918</v>
      </c>
      <c r="AU1" s="6" t="s">
        <v>917</v>
      </c>
      <c r="AV1" s="4" t="s">
        <v>919</v>
      </c>
      <c r="AW1" s="4" t="s">
        <v>920</v>
      </c>
      <c r="AX1" s="5" t="s">
        <v>22</v>
      </c>
    </row>
    <row r="2" spans="1:50" x14ac:dyDescent="0.35">
      <c r="A2" s="7">
        <v>1</v>
      </c>
      <c r="B2" s="7">
        <v>2044342</v>
      </c>
      <c r="C2" s="7" t="s">
        <v>25</v>
      </c>
      <c r="D2" s="21">
        <v>66</v>
      </c>
      <c r="E2" s="7" t="s">
        <v>26</v>
      </c>
      <c r="F2" s="7">
        <v>1.41</v>
      </c>
      <c r="G2" s="7" t="s">
        <v>27</v>
      </c>
      <c r="H2" s="7" t="s">
        <v>28</v>
      </c>
      <c r="I2" s="7" t="str">
        <f>IF(ISNUMBER(SEARCH(LOWER($I$1),LOWER(H2))),"Ya","Tidak")</f>
        <v>Ya</v>
      </c>
      <c r="J2" s="7" t="str">
        <f>IF(ISNUMBER(SEARCH(LOWER($J$1),LOWER(H2))),"Ya","Tidak")</f>
        <v>Tidak</v>
      </c>
      <c r="K2" s="7" t="str">
        <f>IF(ISNUMBER(SEARCH(LOWER($K$1),LOWER(H2))),"Ya","Tidak")</f>
        <v>Tidak</v>
      </c>
      <c r="L2" s="7" t="str">
        <f>IF(ISNUMBER(SEARCH(LOWER($L$1),LOWER(H2))),"Ya","Tidak")</f>
        <v>Tidak</v>
      </c>
      <c r="M2" s="7" t="str">
        <f>IF(ISNUMBER(SEARCH(LOWER($M$1),LOWER(H2))),"Ya","Tidak")</f>
        <v>Tidak</v>
      </c>
      <c r="N2" s="7" t="str">
        <f>IF(ISNUMBER(SEARCH(LOWER($N$1),LOWER(H2))),"Ya","Tidak")</f>
        <v>Tidak</v>
      </c>
      <c r="O2" s="7" t="str">
        <f>IF(ISNUMBER(SEARCH(LOWER($O$1),LOWER(H2))),"Ya","Tidak")</f>
        <v>Tidak</v>
      </c>
      <c r="P2" s="7" t="str">
        <f>IF(OR(ISNUMBER(SEARCH(LOWER($P$1),LOWER(H2))), ISNUMBER(SEARCH("dm",LOWER(H2)))),"Ya","Tidak")</f>
        <v>Tidak</v>
      </c>
      <c r="Q2" s="7" t="str">
        <f>IF(ISNUMBER(SEARCH(LOWER($Q$1),LOWER(H2))),"Ya","Tidak")</f>
        <v>Tidak</v>
      </c>
      <c r="R2" s="7" t="str">
        <f>IF(ISNUMBER(SEARCH(LOWER($R$1),LOWER(H2))),"Ya","Tidak")</f>
        <v>Tidak</v>
      </c>
      <c r="S2" s="7" t="str">
        <f>IF(ISNUMBER(SEARCH(LOWER($S$1),LOWER(H2))),"Ya","Tidak")</f>
        <v>Tidak</v>
      </c>
      <c r="T2" s="7" t="str">
        <f>IF(ISNUMBER(SEARCH(LOWER($T$1),LOWER(H2))),"Ya","Tidak")</f>
        <v>Ya</v>
      </c>
      <c r="U2" s="7" t="str">
        <f>IF(ISNUMBER(SEARCH(LOWER($U$1),LOWER(H2))),"Ya","Tidak")</f>
        <v>Tidak</v>
      </c>
      <c r="V2" s="7" t="str">
        <f>IF(ISNUMBER(SEARCH(LOWER($V$1),LOWER(H2))),"Ya","Tidak")</f>
        <v>Tidak</v>
      </c>
      <c r="W2" s="7" t="str">
        <f>IF(ISNUMBER(SEARCH(LOWER($W$1),LOWER(H2))),"Ya","Tidak")</f>
        <v>Tidak</v>
      </c>
      <c r="X2" s="7" t="str">
        <f>IF(ISNUMBER(SEARCH(LOWER($X$1),LOWER(H2))),"Ya","Tidak")</f>
        <v>Tidak</v>
      </c>
      <c r="Y2" s="8">
        <v>44952</v>
      </c>
      <c r="Z2" s="7" t="s">
        <v>29</v>
      </c>
      <c r="AA2" s="7">
        <f>IF(Z2="",1,IF(ISNUMBER(SEARCH("M1",Z2)),4,
    IF(OR(ISNUMBER(SEARCH("T0",Z2)),AND(ISNUMBER(SEARCH("T1",Z2)),ISNUMBER(SEARCH("N0",Z2))),
           AND(ISNUMBER(SEARCH("T1",Z2)),ISNUMBER(SEARCH("Nx",Z2)))),1,
        IF(OR(ISNUMBER(SEARCH("T1",Z2)),ISNUMBER(SEARCH("T2",Z2))),
            IF(OR(ISNUMBER(SEARCH("N1",Z2)),ISNUMBER(SEARCH("N2",Z2)),ISNUMBER(SEARCH("N2a",Z2)),ISNUMBER(SEARCH("N2A",Z2))),2,2),
            IF(OR(ISNUMBER(SEARCH("T3",Z2)),ISNUMBER(SEARCH("T4",Z2))),3,"")
        )
    )
))</f>
        <v>2</v>
      </c>
      <c r="AB2" s="7" t="str">
        <f>IF(ISNUMBER(SEARCH("T0",Z2)),"Tidak ada",
    IF(ISNUMBER(SEARCH("T1",Z2)),"Kecil",
      IF(ISNUMBER(SEARCH("T2",Z2)),"Sedang",
        IF(ISNUMBER(SEARCH("T3",Z2)),"Besar",
          IF(ISNUMBER(SEARCH("T4",Z2)),"Menjalar ke kulit/dinding dada","Tidak diketahui")
        )
      )
    )
  )</f>
        <v>Sedang</v>
      </c>
      <c r="AC2" s="7" t="str">
        <f>IF(ISNUMBER(SEARCH("N0",Z2)),"Tidak",
    IF(OR(ISNUMBER(SEARCH("N1",Z2)),ISNUMBER(SEARCH("N2",Z2)),ISNUMBER(SEARCH("N3",Z2))),"Ya",
      IF(ISNUMBER(SEARCH("Nx",Z2)),"Tidak diketahui","Tidak diketahui")))</f>
        <v>Ya</v>
      </c>
      <c r="AD2" s="7" t="s">
        <v>30</v>
      </c>
      <c r="AE2" s="7" t="s">
        <v>31</v>
      </c>
      <c r="AF2" s="7" t="str">
        <f>IF(LEFT(AE2,3)="MRM","Maksektomi","BCS")</f>
        <v>Maksektomi</v>
      </c>
      <c r="AG2" s="8">
        <v>44916</v>
      </c>
      <c r="AH2" s="7" t="s">
        <v>32</v>
      </c>
      <c r="AI2" s="8">
        <v>44991</v>
      </c>
      <c r="AJ2" s="7" t="s">
        <v>33</v>
      </c>
      <c r="AK2" s="7" t="s">
        <v>34</v>
      </c>
      <c r="AL2" s="8">
        <v>45114</v>
      </c>
      <c r="AM2" s="7" t="s">
        <v>35</v>
      </c>
      <c r="AN2" s="8">
        <v>45187</v>
      </c>
      <c r="AO2" s="7" t="s">
        <v>36</v>
      </c>
      <c r="AP2" s="7">
        <v>25</v>
      </c>
      <c r="AQ2" s="8">
        <v>45223</v>
      </c>
      <c r="AR2" s="7" t="s">
        <v>37</v>
      </c>
      <c r="AS2" s="7" t="s">
        <v>38</v>
      </c>
      <c r="AT2" s="7" t="str">
        <f>IF(OR(ISNUMBER(SEARCH("tidak",LOWER(AS2))), ISNUMBER(SEARCH("tak",LOWER(AS2)))),"Tidak ada","Ada")</f>
        <v>Tidak ada</v>
      </c>
      <c r="AU2" s="7" t="s">
        <v>39</v>
      </c>
      <c r="AV2" s="7" t="str">
        <f>IF(OR(ISNUMBER(SEARCH("tidak",LOWER(AU2))), ISNUMBER(SEARCH("tak",LOWER(AU2)))),"Tidak ada","Ada")</f>
        <v>Tidak ada</v>
      </c>
      <c r="AW2" s="7" t="str">
        <f>IF(AND(AT2="Tidak ada",AV2="Tidak ada"),"Efektif","Tidak Efektif")</f>
        <v>Efektif</v>
      </c>
      <c r="AX2" s="7" t="s">
        <v>40</v>
      </c>
    </row>
    <row r="3" spans="1:50" x14ac:dyDescent="0.35">
      <c r="A3" s="7">
        <v>2</v>
      </c>
      <c r="B3" s="7">
        <v>1998233</v>
      </c>
      <c r="C3" s="7" t="s">
        <v>41</v>
      </c>
      <c r="D3" s="21">
        <v>49</v>
      </c>
      <c r="E3" s="7" t="s">
        <v>42</v>
      </c>
      <c r="F3" s="7">
        <v>2.61</v>
      </c>
      <c r="G3" s="7" t="s">
        <v>43</v>
      </c>
      <c r="H3" s="7" t="s">
        <v>44</v>
      </c>
      <c r="I3" s="7" t="str">
        <f t="shared" ref="I3:I66" si="0">IF(ISNUMBER(SEARCH(LOWER($I$1),LOWER(H3))),"Ya","Tidak")</f>
        <v>Ya</v>
      </c>
      <c r="J3" s="7" t="str">
        <f t="shared" ref="J3:J66" si="1">IF(ISNUMBER(SEARCH(LOWER($J$1),LOWER(H3))),"Ya","Tidak")</f>
        <v>Tidak</v>
      </c>
      <c r="K3" s="7" t="str">
        <f t="shared" ref="K3:K66" si="2">IF(ISNUMBER(SEARCH(LOWER($K$1),LOWER(H3))),"Ya","Tidak")</f>
        <v>Tidak</v>
      </c>
      <c r="L3" s="7" t="str">
        <f t="shared" ref="L3:L66" si="3">IF(ISNUMBER(SEARCH(LOWER($L$1),LOWER(H3))),"Ya","Tidak")</f>
        <v>Tidak</v>
      </c>
      <c r="M3" s="7" t="str">
        <f t="shared" ref="M3:M66" si="4">IF(ISNUMBER(SEARCH(LOWER($M$1),LOWER(H3))),"Ya","Tidak")</f>
        <v>Tidak</v>
      </c>
      <c r="N3" s="7" t="str">
        <f t="shared" ref="N3:N66" si="5">IF(ISNUMBER(SEARCH(LOWER($N$1),LOWER(H3))),"Ya","Tidak")</f>
        <v>Tidak</v>
      </c>
      <c r="O3" s="7" t="str">
        <f t="shared" ref="O3:O66" si="6">IF(ISNUMBER(SEARCH(LOWER($O$1),LOWER(H3))),"Ya","Tidak")</f>
        <v>Tidak</v>
      </c>
      <c r="P3" s="7" t="str">
        <f t="shared" ref="P3:P66" si="7">IF(OR(ISNUMBER(SEARCH(LOWER($P$1),LOWER(H3))), ISNUMBER(SEARCH("dm",LOWER(H3)))),"Ya","Tidak")</f>
        <v>Tidak</v>
      </c>
      <c r="Q3" s="7" t="str">
        <f t="shared" ref="Q3:Q66" si="8">IF(ISNUMBER(SEARCH(LOWER($Q$1),LOWER(H3))),"Ya","Tidak")</f>
        <v>Tidak</v>
      </c>
      <c r="R3" s="7" t="str">
        <f t="shared" ref="R3:R66" si="9">IF(ISNUMBER(SEARCH(LOWER($R$1),LOWER(H3))),"Ya","Tidak")</f>
        <v>Tidak</v>
      </c>
      <c r="S3" s="7" t="str">
        <f t="shared" ref="S3:S66" si="10">IF(ISNUMBER(SEARCH(LOWER($S$1),LOWER(H3))),"Ya","Tidak")</f>
        <v>Tidak</v>
      </c>
      <c r="T3" s="7" t="str">
        <f t="shared" ref="T3:T66" si="11">IF(ISNUMBER(SEARCH(LOWER($T$1),LOWER(H3))),"Ya","Tidak")</f>
        <v>Tidak</v>
      </c>
      <c r="U3" s="7" t="str">
        <f t="shared" ref="U3:U66" si="12">IF(ISNUMBER(SEARCH(LOWER($U$1),LOWER(H3))),"Ya","Tidak")</f>
        <v>Tidak</v>
      </c>
      <c r="V3" s="7" t="str">
        <f t="shared" ref="V3:V66" si="13">IF(ISNUMBER(SEARCH(LOWER($V$1),LOWER(H3))),"Ya","Tidak")</f>
        <v>Tidak</v>
      </c>
      <c r="W3" s="7" t="str">
        <f t="shared" ref="W3:W66" si="14">IF(ISNUMBER(SEARCH(LOWER($W$1),LOWER(H3))),"Ya","Tidak")</f>
        <v>Tidak</v>
      </c>
      <c r="X3" s="7" t="str">
        <f t="shared" ref="X3:X66" si="15">IF(ISNUMBER(SEARCH(LOWER($X$1),LOWER(H3))),"Ya","Tidak")</f>
        <v>Tidak</v>
      </c>
      <c r="Y3" s="8">
        <v>44564</v>
      </c>
      <c r="Z3" s="7" t="s">
        <v>45</v>
      </c>
      <c r="AA3" s="7">
        <f t="shared" ref="AA3:AA66" si="16">IF(Z3="",1,IF(ISNUMBER(SEARCH("M1",Z3)),4,
    IF(OR(ISNUMBER(SEARCH("T0",Z3)),AND(ISNUMBER(SEARCH("T1",Z3)),ISNUMBER(SEARCH("N0",Z3))),
           AND(ISNUMBER(SEARCH("T1",Z3)),ISNUMBER(SEARCH("Nx",Z3)))),1,
        IF(OR(ISNUMBER(SEARCH("T1",Z3)),ISNUMBER(SEARCH("T2",Z3))),
            IF(OR(ISNUMBER(SEARCH("N1",Z3)),ISNUMBER(SEARCH("N2",Z3)),ISNUMBER(SEARCH("N2a",Z3)),ISNUMBER(SEARCH("N2A",Z3))),2,2),
            IF(OR(ISNUMBER(SEARCH("T3",Z3)),ISNUMBER(SEARCH("T4",Z3))),3,"")
        )
    )
))</f>
        <v>3</v>
      </c>
      <c r="AB3" s="7" t="str">
        <f t="shared" ref="AB3:AB66" si="17">IF(ISNUMBER(SEARCH("T0",Z3)),"Tidak ada",
    IF(ISNUMBER(SEARCH("T1",Z3)),"Kecil",
      IF(ISNUMBER(SEARCH("T2",Z3)),"Sedang",
        IF(ISNUMBER(SEARCH("T3",Z3)),"Besar",
          IF(ISNUMBER(SEARCH("T4",Z3)),"Menjalar ke kulit/dinding dada","Tidak diketahui")
        )
      )
    )
  )</f>
        <v>Besar</v>
      </c>
      <c r="AC3" s="7" t="str">
        <f t="shared" ref="AC3:AC66" si="18">IF(ISNUMBER(SEARCH("N0",Z3)),"Tidak",
    IF(OR(ISNUMBER(SEARCH("N1",Z3)),ISNUMBER(SEARCH("N2",Z3)),ISNUMBER(SEARCH("N3",Z3))),"Ya",
      IF(ISNUMBER(SEARCH("Nx",Z3)),"Tidak diketahui","Tidak diketahui")))</f>
        <v>Ya</v>
      </c>
      <c r="AD3" s="7" t="s">
        <v>46</v>
      </c>
      <c r="AE3" s="7" t="s">
        <v>31</v>
      </c>
      <c r="AF3" s="7" t="str">
        <f t="shared" ref="AF3:AF66" si="19">IF(LEFT(AE3,3)="MRM","Maksektomi","BCS")</f>
        <v>Maksektomi</v>
      </c>
      <c r="AG3" s="8">
        <v>44627</v>
      </c>
      <c r="AH3" s="7" t="s">
        <v>32</v>
      </c>
      <c r="AI3" s="8">
        <v>44677</v>
      </c>
      <c r="AJ3" s="7" t="s">
        <v>47</v>
      </c>
      <c r="AK3" s="7" t="s">
        <v>34</v>
      </c>
      <c r="AL3" s="8">
        <v>44791</v>
      </c>
      <c r="AM3" s="7" t="s">
        <v>48</v>
      </c>
      <c r="AN3" s="8">
        <v>44886</v>
      </c>
      <c r="AO3" s="7" t="s">
        <v>36</v>
      </c>
      <c r="AP3" s="7">
        <v>25</v>
      </c>
      <c r="AQ3" s="8">
        <v>44921</v>
      </c>
      <c r="AR3" s="9" t="s">
        <v>49</v>
      </c>
      <c r="AS3" s="7" t="s">
        <v>50</v>
      </c>
      <c r="AT3" s="7" t="str">
        <f t="shared" ref="AT3:AT65" si="20">IF(OR(ISNUMBER(SEARCH("tidak",LOWER(AS3))), ISNUMBER(SEARCH("tak",LOWER(AS3)))),"Tidak ada","Ada")</f>
        <v>Tidak ada</v>
      </c>
      <c r="AU3" s="7" t="s">
        <v>39</v>
      </c>
      <c r="AV3" s="7" t="str">
        <f t="shared" ref="AV3:AV65" si="21">IF(OR(ISNUMBER(SEARCH("tidak",LOWER(AU3))), ISNUMBER(SEARCH("tak",LOWER(AU3)))),"Tidak ada","Ada")</f>
        <v>Tidak ada</v>
      </c>
      <c r="AW3" s="7" t="str">
        <f t="shared" ref="AW3:AW65" si="22">IF(AND(AT3="Tidak ada",AV3="Tidak ada"),"Efektif","Tidak Efektif")</f>
        <v>Efektif</v>
      </c>
      <c r="AX3" s="7"/>
    </row>
    <row r="4" spans="1:50" x14ac:dyDescent="0.35">
      <c r="A4" s="7">
        <v>3</v>
      </c>
      <c r="B4" s="7">
        <v>2012752</v>
      </c>
      <c r="C4" s="7" t="s">
        <v>51</v>
      </c>
      <c r="D4" s="21">
        <v>53</v>
      </c>
      <c r="E4" s="7" t="s">
        <v>52</v>
      </c>
      <c r="F4" s="7">
        <v>1.6</v>
      </c>
      <c r="G4" s="7" t="s">
        <v>53</v>
      </c>
      <c r="H4" s="7" t="s">
        <v>54</v>
      </c>
      <c r="I4" s="7" t="str">
        <f t="shared" si="0"/>
        <v>Ya</v>
      </c>
      <c r="J4" s="7" t="str">
        <f t="shared" si="1"/>
        <v>Tidak</v>
      </c>
      <c r="K4" s="7" t="str">
        <f t="shared" si="2"/>
        <v>Tidak</v>
      </c>
      <c r="L4" s="7" t="str">
        <f t="shared" si="3"/>
        <v>Ya</v>
      </c>
      <c r="M4" s="7" t="str">
        <f t="shared" si="4"/>
        <v>Tidak</v>
      </c>
      <c r="N4" s="7" t="str">
        <f t="shared" si="5"/>
        <v>Tidak</v>
      </c>
      <c r="O4" s="7" t="str">
        <f t="shared" si="6"/>
        <v>Tidak</v>
      </c>
      <c r="P4" s="7" t="str">
        <f t="shared" si="7"/>
        <v>Tidak</v>
      </c>
      <c r="Q4" s="7" t="str">
        <f t="shared" si="8"/>
        <v>Tidak</v>
      </c>
      <c r="R4" s="7" t="str">
        <f t="shared" si="9"/>
        <v>Tidak</v>
      </c>
      <c r="S4" s="7" t="str">
        <f t="shared" si="10"/>
        <v>Tidak</v>
      </c>
      <c r="T4" s="7" t="str">
        <f t="shared" si="11"/>
        <v>Tidak</v>
      </c>
      <c r="U4" s="7" t="str">
        <f t="shared" si="12"/>
        <v>Tidak</v>
      </c>
      <c r="V4" s="7" t="str">
        <f t="shared" si="13"/>
        <v>Tidak</v>
      </c>
      <c r="W4" s="7" t="str">
        <f t="shared" si="14"/>
        <v>Tidak</v>
      </c>
      <c r="X4" s="7" t="str">
        <f t="shared" si="15"/>
        <v>Tidak</v>
      </c>
      <c r="Y4" s="8">
        <v>44706</v>
      </c>
      <c r="Z4" s="7" t="s">
        <v>55</v>
      </c>
      <c r="AA4" s="7">
        <f t="shared" si="16"/>
        <v>3</v>
      </c>
      <c r="AB4" s="7" t="str">
        <f t="shared" si="17"/>
        <v>Menjalar ke kulit/dinding dada</v>
      </c>
      <c r="AC4" s="7" t="str">
        <f t="shared" si="18"/>
        <v>Ya</v>
      </c>
      <c r="AD4" s="7" t="s">
        <v>56</v>
      </c>
      <c r="AE4" s="7" t="s">
        <v>57</v>
      </c>
      <c r="AF4" s="7" t="str">
        <f t="shared" si="19"/>
        <v>Maksektomi</v>
      </c>
      <c r="AG4" s="8">
        <v>44711</v>
      </c>
      <c r="AH4" s="7" t="s">
        <v>32</v>
      </c>
      <c r="AI4" s="8">
        <v>44733</v>
      </c>
      <c r="AJ4" s="7" t="s">
        <v>58</v>
      </c>
      <c r="AK4" s="7" t="s">
        <v>59</v>
      </c>
      <c r="AL4" s="8">
        <v>44950</v>
      </c>
      <c r="AM4" s="7" t="s">
        <v>60</v>
      </c>
      <c r="AN4" s="8">
        <v>44991</v>
      </c>
      <c r="AO4" s="7" t="s">
        <v>61</v>
      </c>
      <c r="AP4" s="7">
        <v>30</v>
      </c>
      <c r="AQ4" s="8">
        <v>45044</v>
      </c>
      <c r="AR4" s="7" t="s">
        <v>62</v>
      </c>
      <c r="AS4" s="10" t="s">
        <v>63</v>
      </c>
      <c r="AT4" s="7" t="str">
        <f t="shared" si="20"/>
        <v>Tidak ada</v>
      </c>
      <c r="AU4" s="7" t="s">
        <v>64</v>
      </c>
      <c r="AV4" s="7" t="str">
        <f t="shared" si="21"/>
        <v>Tidak ada</v>
      </c>
      <c r="AW4" s="7" t="str">
        <f t="shared" si="22"/>
        <v>Efektif</v>
      </c>
      <c r="AX4" s="7" t="s">
        <v>65</v>
      </c>
    </row>
    <row r="5" spans="1:50" x14ac:dyDescent="0.35">
      <c r="A5" s="7">
        <v>4</v>
      </c>
      <c r="B5" s="7">
        <v>2061047</v>
      </c>
      <c r="C5" s="7" t="s">
        <v>66</v>
      </c>
      <c r="D5" s="21">
        <v>45</v>
      </c>
      <c r="E5" s="7" t="s">
        <v>67</v>
      </c>
      <c r="F5" s="7">
        <v>1.65</v>
      </c>
      <c r="G5" s="7" t="s">
        <v>68</v>
      </c>
      <c r="H5" s="7"/>
      <c r="I5" s="7" t="str">
        <f t="shared" si="0"/>
        <v>Tidak</v>
      </c>
      <c r="J5" s="7" t="str">
        <f t="shared" si="1"/>
        <v>Tidak</v>
      </c>
      <c r="K5" s="7" t="str">
        <f t="shared" si="2"/>
        <v>Tidak</v>
      </c>
      <c r="L5" s="7" t="str">
        <f t="shared" si="3"/>
        <v>Tidak</v>
      </c>
      <c r="M5" s="7" t="str">
        <f t="shared" si="4"/>
        <v>Tidak</v>
      </c>
      <c r="N5" s="7" t="str">
        <f t="shared" si="5"/>
        <v>Tidak</v>
      </c>
      <c r="O5" s="7" t="str">
        <f t="shared" si="6"/>
        <v>Tidak</v>
      </c>
      <c r="P5" s="7" t="str">
        <f t="shared" si="7"/>
        <v>Tidak</v>
      </c>
      <c r="Q5" s="7" t="str">
        <f t="shared" si="8"/>
        <v>Tidak</v>
      </c>
      <c r="R5" s="7" t="str">
        <f t="shared" si="9"/>
        <v>Tidak</v>
      </c>
      <c r="S5" s="7" t="str">
        <f t="shared" si="10"/>
        <v>Tidak</v>
      </c>
      <c r="T5" s="7" t="str">
        <f t="shared" si="11"/>
        <v>Tidak</v>
      </c>
      <c r="U5" s="7" t="str">
        <f t="shared" si="12"/>
        <v>Tidak</v>
      </c>
      <c r="V5" s="7" t="str">
        <f t="shared" si="13"/>
        <v>Tidak</v>
      </c>
      <c r="W5" s="7" t="str">
        <f t="shared" si="14"/>
        <v>Tidak</v>
      </c>
      <c r="X5" s="7" t="str">
        <f t="shared" si="15"/>
        <v>Tidak</v>
      </c>
      <c r="Y5" s="8">
        <v>45089</v>
      </c>
      <c r="Z5" s="7" t="s">
        <v>29</v>
      </c>
      <c r="AA5" s="7">
        <f t="shared" si="16"/>
        <v>2</v>
      </c>
      <c r="AB5" s="7" t="str">
        <f t="shared" si="17"/>
        <v>Sedang</v>
      </c>
      <c r="AC5" s="7" t="str">
        <f t="shared" si="18"/>
        <v>Ya</v>
      </c>
      <c r="AD5" s="7" t="s">
        <v>69</v>
      </c>
      <c r="AE5" s="7" t="s">
        <v>70</v>
      </c>
      <c r="AF5" s="7" t="str">
        <f t="shared" si="19"/>
        <v>BCS</v>
      </c>
      <c r="AG5" s="8">
        <v>45048</v>
      </c>
      <c r="AH5" s="7" t="s">
        <v>32</v>
      </c>
      <c r="AI5" s="8">
        <v>45273</v>
      </c>
      <c r="AJ5" s="7" t="s">
        <v>71</v>
      </c>
      <c r="AK5" s="7" t="s">
        <v>72</v>
      </c>
      <c r="AL5" s="8">
        <v>45387</v>
      </c>
      <c r="AM5" s="7" t="s">
        <v>73</v>
      </c>
      <c r="AN5" s="8">
        <v>45160</v>
      </c>
      <c r="AO5" s="7" t="s">
        <v>74</v>
      </c>
      <c r="AP5" s="7">
        <v>30</v>
      </c>
      <c r="AQ5" s="8">
        <v>45210</v>
      </c>
      <c r="AR5" s="7" t="s">
        <v>75</v>
      </c>
      <c r="AS5" s="10" t="s">
        <v>76</v>
      </c>
      <c r="AT5" s="7" t="str">
        <f t="shared" si="20"/>
        <v>Tidak ada</v>
      </c>
      <c r="AU5" s="7" t="s">
        <v>77</v>
      </c>
      <c r="AV5" s="7" t="str">
        <f t="shared" si="21"/>
        <v>Tidak ada</v>
      </c>
      <c r="AW5" s="7" t="str">
        <f t="shared" si="22"/>
        <v>Efektif</v>
      </c>
      <c r="AX5" s="7" t="s">
        <v>78</v>
      </c>
    </row>
    <row r="6" spans="1:50" x14ac:dyDescent="0.35">
      <c r="A6" s="7">
        <v>5</v>
      </c>
      <c r="B6" s="7">
        <v>1998217</v>
      </c>
      <c r="C6" s="7" t="s">
        <v>79</v>
      </c>
      <c r="D6" s="21">
        <v>37</v>
      </c>
      <c r="E6" s="7" t="s">
        <v>80</v>
      </c>
      <c r="F6" s="7">
        <v>1.45</v>
      </c>
      <c r="G6" s="7" t="s">
        <v>68</v>
      </c>
      <c r="H6" s="7" t="s">
        <v>81</v>
      </c>
      <c r="I6" s="7" t="str">
        <f t="shared" si="0"/>
        <v>Tidak</v>
      </c>
      <c r="J6" s="7" t="str">
        <f t="shared" si="1"/>
        <v>Tidak</v>
      </c>
      <c r="K6" s="7" t="str">
        <f t="shared" si="2"/>
        <v>Ya</v>
      </c>
      <c r="L6" s="7" t="str">
        <f t="shared" si="3"/>
        <v>Tidak</v>
      </c>
      <c r="M6" s="7" t="str">
        <f t="shared" si="4"/>
        <v>Ya</v>
      </c>
      <c r="N6" s="7" t="str">
        <f t="shared" si="5"/>
        <v>Tidak</v>
      </c>
      <c r="O6" s="7" t="str">
        <f t="shared" si="6"/>
        <v>Tidak</v>
      </c>
      <c r="P6" s="7" t="str">
        <f t="shared" si="7"/>
        <v>Tidak</v>
      </c>
      <c r="Q6" s="7" t="str">
        <f t="shared" si="8"/>
        <v>Tidak</v>
      </c>
      <c r="R6" s="7" t="str">
        <f t="shared" si="9"/>
        <v>Tidak</v>
      </c>
      <c r="S6" s="7" t="str">
        <f t="shared" si="10"/>
        <v>Tidak</v>
      </c>
      <c r="T6" s="7" t="str">
        <f t="shared" si="11"/>
        <v>Tidak</v>
      </c>
      <c r="U6" s="7" t="str">
        <f t="shared" si="12"/>
        <v>Tidak</v>
      </c>
      <c r="V6" s="7" t="str">
        <f t="shared" si="13"/>
        <v>Tidak</v>
      </c>
      <c r="W6" s="7" t="str">
        <f t="shared" si="14"/>
        <v>Tidak</v>
      </c>
      <c r="X6" s="7" t="str">
        <f t="shared" si="15"/>
        <v>Tidak</v>
      </c>
      <c r="Y6" s="8">
        <v>44564</v>
      </c>
      <c r="Z6" s="7" t="s">
        <v>82</v>
      </c>
      <c r="AA6" s="7">
        <f t="shared" si="16"/>
        <v>3</v>
      </c>
      <c r="AB6" s="7" t="str">
        <f t="shared" si="17"/>
        <v>Besar</v>
      </c>
      <c r="AC6" s="7" t="str">
        <f t="shared" si="18"/>
        <v>Ya</v>
      </c>
      <c r="AD6" s="7" t="s">
        <v>83</v>
      </c>
      <c r="AE6" s="7" t="s">
        <v>57</v>
      </c>
      <c r="AF6" s="7" t="str">
        <f t="shared" si="19"/>
        <v>Maksektomi</v>
      </c>
      <c r="AG6" s="8">
        <v>44581</v>
      </c>
      <c r="AH6" s="7" t="s">
        <v>32</v>
      </c>
      <c r="AI6" s="8">
        <v>44615</v>
      </c>
      <c r="AJ6" s="7" t="s">
        <v>84</v>
      </c>
      <c r="AK6" s="7" t="s">
        <v>59</v>
      </c>
      <c r="AL6" s="8">
        <v>44615</v>
      </c>
      <c r="AM6" s="7" t="s">
        <v>85</v>
      </c>
      <c r="AN6" s="8">
        <v>44894</v>
      </c>
      <c r="AO6" s="7" t="s">
        <v>36</v>
      </c>
      <c r="AP6" s="7">
        <v>25</v>
      </c>
      <c r="AQ6" s="8">
        <v>44928</v>
      </c>
      <c r="AR6" s="7" t="s">
        <v>86</v>
      </c>
      <c r="AS6" s="10" t="s">
        <v>87</v>
      </c>
      <c r="AT6" s="7" t="str">
        <f t="shared" si="20"/>
        <v>Tidak ada</v>
      </c>
      <c r="AU6" s="7" t="s">
        <v>88</v>
      </c>
      <c r="AV6" s="7" t="str">
        <f t="shared" si="21"/>
        <v>Tidak ada</v>
      </c>
      <c r="AW6" s="7" t="str">
        <f t="shared" si="22"/>
        <v>Efektif</v>
      </c>
      <c r="AX6" s="7" t="s">
        <v>78</v>
      </c>
    </row>
    <row r="7" spans="1:50" x14ac:dyDescent="0.35">
      <c r="A7" s="7">
        <v>6</v>
      </c>
      <c r="B7" s="7">
        <v>2022896</v>
      </c>
      <c r="C7" s="7" t="s">
        <v>89</v>
      </c>
      <c r="D7" s="21">
        <v>55</v>
      </c>
      <c r="E7" s="7" t="s">
        <v>90</v>
      </c>
      <c r="F7" s="7">
        <v>1.53</v>
      </c>
      <c r="G7" s="7" t="s">
        <v>68</v>
      </c>
      <c r="H7" s="7" t="s">
        <v>91</v>
      </c>
      <c r="I7" s="7" t="str">
        <f t="shared" si="0"/>
        <v>Ya</v>
      </c>
      <c r="J7" s="7" t="str">
        <f t="shared" si="1"/>
        <v>Tidak</v>
      </c>
      <c r="K7" s="7" t="str">
        <f t="shared" si="2"/>
        <v>Tidak</v>
      </c>
      <c r="L7" s="7" t="str">
        <f t="shared" si="3"/>
        <v>Tidak</v>
      </c>
      <c r="M7" s="7" t="str">
        <f t="shared" si="4"/>
        <v>Tidak</v>
      </c>
      <c r="N7" s="7" t="str">
        <f t="shared" si="5"/>
        <v>Tidak</v>
      </c>
      <c r="O7" s="7" t="str">
        <f t="shared" si="6"/>
        <v>Tidak</v>
      </c>
      <c r="P7" s="7" t="str">
        <f t="shared" si="7"/>
        <v>Tidak</v>
      </c>
      <c r="Q7" s="7" t="str">
        <f t="shared" si="8"/>
        <v>Tidak</v>
      </c>
      <c r="R7" s="7" t="str">
        <f t="shared" si="9"/>
        <v>Tidak</v>
      </c>
      <c r="S7" s="7" t="str">
        <f t="shared" si="10"/>
        <v>Tidak</v>
      </c>
      <c r="T7" s="7" t="str">
        <f t="shared" si="11"/>
        <v>Tidak</v>
      </c>
      <c r="U7" s="7" t="str">
        <f t="shared" si="12"/>
        <v>Tidak</v>
      </c>
      <c r="V7" s="7" t="str">
        <f t="shared" si="13"/>
        <v>Tidak</v>
      </c>
      <c r="W7" s="7" t="str">
        <f t="shared" si="14"/>
        <v>Tidak</v>
      </c>
      <c r="X7" s="7" t="str">
        <f t="shared" si="15"/>
        <v>Tidak</v>
      </c>
      <c r="Y7" s="8">
        <v>44789</v>
      </c>
      <c r="Z7" s="7" t="s">
        <v>92</v>
      </c>
      <c r="AA7" s="7">
        <f t="shared" si="16"/>
        <v>3</v>
      </c>
      <c r="AB7" s="7" t="str">
        <f t="shared" si="17"/>
        <v>Besar</v>
      </c>
      <c r="AC7" s="7" t="str">
        <f t="shared" si="18"/>
        <v>Ya</v>
      </c>
      <c r="AD7" s="2" t="s">
        <v>93</v>
      </c>
      <c r="AE7" s="7" t="s">
        <v>94</v>
      </c>
      <c r="AF7" s="7" t="str">
        <f t="shared" si="19"/>
        <v>Maksektomi</v>
      </c>
      <c r="AG7" s="11">
        <v>44713</v>
      </c>
      <c r="AH7" s="7" t="s">
        <v>32</v>
      </c>
      <c r="AI7" s="8">
        <v>44832</v>
      </c>
      <c r="AJ7" s="7" t="s">
        <v>95</v>
      </c>
      <c r="AK7" s="7" t="s">
        <v>59</v>
      </c>
      <c r="AL7" s="8">
        <v>44970</v>
      </c>
      <c r="AM7" s="7" t="s">
        <v>96</v>
      </c>
      <c r="AN7" s="7" t="s">
        <v>97</v>
      </c>
      <c r="AO7" s="7" t="s">
        <v>74</v>
      </c>
      <c r="AP7" s="7">
        <v>30</v>
      </c>
      <c r="AQ7" s="8">
        <v>45124</v>
      </c>
      <c r="AR7" s="7" t="s">
        <v>98</v>
      </c>
      <c r="AS7" s="7" t="s">
        <v>99</v>
      </c>
      <c r="AT7" s="7" t="str">
        <f t="shared" si="20"/>
        <v>Tidak ada</v>
      </c>
      <c r="AU7" s="7" t="s">
        <v>921</v>
      </c>
      <c r="AV7" s="7" t="str">
        <f t="shared" si="21"/>
        <v>Tidak ada</v>
      </c>
      <c r="AW7" s="7" t="str">
        <f t="shared" si="22"/>
        <v>Efektif</v>
      </c>
      <c r="AX7" s="7"/>
    </row>
    <row r="8" spans="1:50" x14ac:dyDescent="0.35">
      <c r="A8" s="7">
        <v>7</v>
      </c>
      <c r="B8" s="7">
        <v>2031300</v>
      </c>
      <c r="C8" s="7" t="s">
        <v>100</v>
      </c>
      <c r="D8" s="21">
        <v>64</v>
      </c>
      <c r="E8" s="7" t="s">
        <v>101</v>
      </c>
      <c r="F8" s="7">
        <v>1.42</v>
      </c>
      <c r="G8" s="7" t="s">
        <v>102</v>
      </c>
      <c r="H8" s="7" t="s">
        <v>103</v>
      </c>
      <c r="I8" s="7" t="str">
        <f t="shared" si="0"/>
        <v>Ya</v>
      </c>
      <c r="J8" s="7" t="str">
        <f t="shared" si="1"/>
        <v>Tidak</v>
      </c>
      <c r="K8" s="7" t="str">
        <f t="shared" si="2"/>
        <v>Tidak</v>
      </c>
      <c r="L8" s="7" t="str">
        <f t="shared" si="3"/>
        <v>Tidak</v>
      </c>
      <c r="M8" s="7" t="str">
        <f t="shared" si="4"/>
        <v>Tidak</v>
      </c>
      <c r="N8" s="7" t="str">
        <f t="shared" si="5"/>
        <v>Tidak</v>
      </c>
      <c r="O8" s="7" t="str">
        <f t="shared" si="6"/>
        <v>Tidak</v>
      </c>
      <c r="P8" s="7" t="str">
        <f t="shared" si="7"/>
        <v>Tidak</v>
      </c>
      <c r="Q8" s="7" t="str">
        <f t="shared" si="8"/>
        <v>Ya</v>
      </c>
      <c r="R8" s="7" t="str">
        <f t="shared" si="9"/>
        <v>Tidak</v>
      </c>
      <c r="S8" s="7" t="str">
        <f t="shared" si="10"/>
        <v>Tidak</v>
      </c>
      <c r="T8" s="7" t="str">
        <f t="shared" si="11"/>
        <v>Tidak</v>
      </c>
      <c r="U8" s="7" t="str">
        <f t="shared" si="12"/>
        <v>Tidak</v>
      </c>
      <c r="V8" s="7" t="str">
        <f t="shared" si="13"/>
        <v>Tidak</v>
      </c>
      <c r="W8" s="7" t="str">
        <f t="shared" si="14"/>
        <v>Tidak</v>
      </c>
      <c r="X8" s="7" t="str">
        <f t="shared" si="15"/>
        <v>Tidak</v>
      </c>
      <c r="Y8" s="8">
        <v>44853</v>
      </c>
      <c r="Z8" s="7" t="s">
        <v>104</v>
      </c>
      <c r="AA8" s="7">
        <f t="shared" si="16"/>
        <v>3</v>
      </c>
      <c r="AB8" s="7" t="str">
        <f t="shared" si="17"/>
        <v>Besar</v>
      </c>
      <c r="AC8" s="7" t="str">
        <f t="shared" si="18"/>
        <v>Ya</v>
      </c>
      <c r="AD8" s="7" t="s">
        <v>105</v>
      </c>
      <c r="AE8" s="7" t="s">
        <v>57</v>
      </c>
      <c r="AF8" s="7" t="str">
        <f t="shared" si="19"/>
        <v>Maksektomi</v>
      </c>
      <c r="AG8" s="8">
        <v>44861</v>
      </c>
      <c r="AH8" s="7" t="s">
        <v>32</v>
      </c>
      <c r="AI8" s="8">
        <v>44893</v>
      </c>
      <c r="AJ8" s="7" t="s">
        <v>106</v>
      </c>
      <c r="AK8" s="7" t="s">
        <v>107</v>
      </c>
      <c r="AL8" s="8">
        <v>44998</v>
      </c>
      <c r="AM8" s="7" t="s">
        <v>108</v>
      </c>
      <c r="AN8" s="8">
        <v>45075</v>
      </c>
      <c r="AO8" s="7" t="s">
        <v>36</v>
      </c>
      <c r="AP8" s="7">
        <v>25</v>
      </c>
      <c r="AQ8" s="8">
        <v>45133</v>
      </c>
      <c r="AR8" s="7" t="s">
        <v>109</v>
      </c>
      <c r="AS8" s="7" t="s">
        <v>110</v>
      </c>
      <c r="AT8" s="7" t="str">
        <f t="shared" si="20"/>
        <v>Tidak ada</v>
      </c>
      <c r="AU8" s="7" t="s">
        <v>111</v>
      </c>
      <c r="AV8" s="7" t="str">
        <f t="shared" si="21"/>
        <v>Tidak ada</v>
      </c>
      <c r="AW8" s="7" t="str">
        <f t="shared" si="22"/>
        <v>Efektif</v>
      </c>
      <c r="AX8" s="7"/>
    </row>
    <row r="9" spans="1:50" x14ac:dyDescent="0.35">
      <c r="A9" s="7">
        <v>8</v>
      </c>
      <c r="B9" s="7">
        <v>2023236</v>
      </c>
      <c r="C9" s="7" t="s">
        <v>112</v>
      </c>
      <c r="D9" s="21">
        <v>38</v>
      </c>
      <c r="E9" s="7" t="s">
        <v>113</v>
      </c>
      <c r="F9" s="7">
        <v>1.47</v>
      </c>
      <c r="G9" s="7" t="s">
        <v>114</v>
      </c>
      <c r="H9" s="7"/>
      <c r="I9" s="7" t="str">
        <f t="shared" si="0"/>
        <v>Tidak</v>
      </c>
      <c r="J9" s="7" t="str">
        <f t="shared" si="1"/>
        <v>Tidak</v>
      </c>
      <c r="K9" s="7" t="str">
        <f t="shared" si="2"/>
        <v>Tidak</v>
      </c>
      <c r="L9" s="7" t="str">
        <f t="shared" si="3"/>
        <v>Tidak</v>
      </c>
      <c r="M9" s="7" t="str">
        <f t="shared" si="4"/>
        <v>Tidak</v>
      </c>
      <c r="N9" s="7" t="str">
        <f t="shared" si="5"/>
        <v>Tidak</v>
      </c>
      <c r="O9" s="7" t="str">
        <f t="shared" si="6"/>
        <v>Tidak</v>
      </c>
      <c r="P9" s="7" t="str">
        <f t="shared" si="7"/>
        <v>Tidak</v>
      </c>
      <c r="Q9" s="7" t="str">
        <f t="shared" si="8"/>
        <v>Tidak</v>
      </c>
      <c r="R9" s="7" t="str">
        <f t="shared" si="9"/>
        <v>Tidak</v>
      </c>
      <c r="S9" s="7" t="str">
        <f t="shared" si="10"/>
        <v>Tidak</v>
      </c>
      <c r="T9" s="7" t="str">
        <f t="shared" si="11"/>
        <v>Tidak</v>
      </c>
      <c r="U9" s="7" t="str">
        <f t="shared" si="12"/>
        <v>Tidak</v>
      </c>
      <c r="V9" s="7" t="str">
        <f t="shared" si="13"/>
        <v>Tidak</v>
      </c>
      <c r="W9" s="7" t="str">
        <f t="shared" si="14"/>
        <v>Tidak</v>
      </c>
      <c r="X9" s="7" t="str">
        <f t="shared" si="15"/>
        <v>Tidak</v>
      </c>
      <c r="Y9" s="12">
        <v>44792</v>
      </c>
      <c r="Z9" s="7" t="s">
        <v>92</v>
      </c>
      <c r="AA9" s="7">
        <f t="shared" si="16"/>
        <v>3</v>
      </c>
      <c r="AB9" s="7" t="str">
        <f t="shared" si="17"/>
        <v>Besar</v>
      </c>
      <c r="AC9" s="7" t="str">
        <f t="shared" si="18"/>
        <v>Ya</v>
      </c>
      <c r="AD9" s="7" t="s">
        <v>115</v>
      </c>
      <c r="AE9" s="7" t="s">
        <v>31</v>
      </c>
      <c r="AF9" s="7" t="str">
        <f t="shared" si="19"/>
        <v>Maksektomi</v>
      </c>
      <c r="AG9" s="8">
        <v>44796</v>
      </c>
      <c r="AH9" s="7" t="s">
        <v>32</v>
      </c>
      <c r="AI9" s="8">
        <v>44851</v>
      </c>
      <c r="AJ9" s="7" t="s">
        <v>116</v>
      </c>
      <c r="AK9" s="7" t="s">
        <v>107</v>
      </c>
      <c r="AL9" s="8">
        <v>44935</v>
      </c>
      <c r="AM9" s="7" t="s">
        <v>96</v>
      </c>
      <c r="AN9" s="8">
        <v>45020</v>
      </c>
      <c r="AO9" s="7" t="s">
        <v>117</v>
      </c>
      <c r="AP9" s="7">
        <v>30</v>
      </c>
      <c r="AQ9" s="8">
        <v>45071</v>
      </c>
      <c r="AR9" s="7" t="s">
        <v>118</v>
      </c>
      <c r="AS9" s="13" t="s">
        <v>119</v>
      </c>
      <c r="AT9" s="7" t="str">
        <f t="shared" si="20"/>
        <v>Tidak ada</v>
      </c>
      <c r="AU9" s="7" t="s">
        <v>120</v>
      </c>
      <c r="AV9" s="7" t="str">
        <f t="shared" si="21"/>
        <v>Tidak ada</v>
      </c>
      <c r="AW9" s="7" t="str">
        <f t="shared" si="22"/>
        <v>Efektif</v>
      </c>
      <c r="AX9" s="7" t="s">
        <v>121</v>
      </c>
    </row>
    <row r="10" spans="1:50" x14ac:dyDescent="0.35">
      <c r="A10" s="7">
        <v>9</v>
      </c>
      <c r="B10" s="7">
        <v>2052512</v>
      </c>
      <c r="C10" s="7" t="s">
        <v>122</v>
      </c>
      <c r="D10" s="21">
        <v>35</v>
      </c>
      <c r="E10" s="7" t="s">
        <v>123</v>
      </c>
      <c r="F10" s="7">
        <v>1.47</v>
      </c>
      <c r="G10" s="7" t="s">
        <v>114</v>
      </c>
      <c r="H10" s="7" t="s">
        <v>124</v>
      </c>
      <c r="I10" s="7" t="str">
        <f t="shared" si="0"/>
        <v>Tidak</v>
      </c>
      <c r="J10" s="7" t="str">
        <f t="shared" si="1"/>
        <v>Tidak</v>
      </c>
      <c r="K10" s="7" t="str">
        <f t="shared" si="2"/>
        <v>Ya</v>
      </c>
      <c r="L10" s="7" t="str">
        <f t="shared" si="3"/>
        <v>Tidak</v>
      </c>
      <c r="M10" s="7" t="str">
        <f t="shared" si="4"/>
        <v>Tidak</v>
      </c>
      <c r="N10" s="7" t="str">
        <f t="shared" si="5"/>
        <v>Tidak</v>
      </c>
      <c r="O10" s="7" t="str">
        <f t="shared" si="6"/>
        <v>Tidak</v>
      </c>
      <c r="P10" s="7" t="str">
        <f t="shared" si="7"/>
        <v>Tidak</v>
      </c>
      <c r="Q10" s="7" t="str">
        <f t="shared" si="8"/>
        <v>Tidak</v>
      </c>
      <c r="R10" s="7" t="str">
        <f t="shared" si="9"/>
        <v>Tidak</v>
      </c>
      <c r="S10" s="7" t="str">
        <f t="shared" si="10"/>
        <v>Tidak</v>
      </c>
      <c r="T10" s="7" t="str">
        <f t="shared" si="11"/>
        <v>Tidak</v>
      </c>
      <c r="U10" s="7" t="str">
        <f t="shared" si="12"/>
        <v>Tidak</v>
      </c>
      <c r="V10" s="7" t="str">
        <f t="shared" si="13"/>
        <v>Tidak</v>
      </c>
      <c r="W10" s="7" t="str">
        <f t="shared" si="14"/>
        <v>Ya</v>
      </c>
      <c r="X10" s="7" t="str">
        <f t="shared" si="15"/>
        <v>Ya</v>
      </c>
      <c r="Y10" s="8">
        <v>45014</v>
      </c>
      <c r="Z10" s="7" t="s">
        <v>125</v>
      </c>
      <c r="AA10" s="7">
        <f t="shared" si="16"/>
        <v>4</v>
      </c>
      <c r="AB10" s="7" t="str">
        <f t="shared" si="17"/>
        <v>Besar</v>
      </c>
      <c r="AC10" s="7" t="str">
        <f t="shared" si="18"/>
        <v>Ya</v>
      </c>
      <c r="AD10" s="7" t="s">
        <v>126</v>
      </c>
      <c r="AE10" s="7" t="s">
        <v>127</v>
      </c>
      <c r="AF10" s="7" t="str">
        <f t="shared" si="19"/>
        <v>Maksektomi</v>
      </c>
      <c r="AG10" s="8">
        <v>44982</v>
      </c>
      <c r="AH10" s="7" t="s">
        <v>32</v>
      </c>
      <c r="AI10" s="8">
        <v>45096</v>
      </c>
      <c r="AJ10" s="7" t="s">
        <v>128</v>
      </c>
      <c r="AK10" s="7" t="s">
        <v>107</v>
      </c>
      <c r="AL10" s="8">
        <v>45204</v>
      </c>
      <c r="AM10" s="7" t="s">
        <v>96</v>
      </c>
      <c r="AN10" s="8">
        <v>45287</v>
      </c>
      <c r="AO10" s="7" t="s">
        <v>129</v>
      </c>
      <c r="AP10" s="7">
        <v>25</v>
      </c>
      <c r="AQ10" s="8">
        <v>45327</v>
      </c>
      <c r="AR10" s="7" t="s">
        <v>130</v>
      </c>
      <c r="AS10" s="7" t="s">
        <v>131</v>
      </c>
      <c r="AT10" s="7" t="str">
        <f t="shared" si="20"/>
        <v>Tidak ada</v>
      </c>
      <c r="AU10" s="7" t="s">
        <v>132</v>
      </c>
      <c r="AV10" s="7" t="str">
        <f t="shared" si="21"/>
        <v>Ada</v>
      </c>
      <c r="AW10" s="7" t="str">
        <f t="shared" si="22"/>
        <v>Tidak Efektif</v>
      </c>
      <c r="AX10" s="7" t="s">
        <v>133</v>
      </c>
    </row>
    <row r="11" spans="1:50" x14ac:dyDescent="0.35">
      <c r="A11" s="7">
        <v>10</v>
      </c>
      <c r="B11" s="7">
        <v>2041528</v>
      </c>
      <c r="C11" s="7" t="s">
        <v>134</v>
      </c>
      <c r="D11" s="21">
        <v>35</v>
      </c>
      <c r="E11" s="7" t="s">
        <v>135</v>
      </c>
      <c r="F11" s="7">
        <v>1.87</v>
      </c>
      <c r="G11" s="7" t="s">
        <v>102</v>
      </c>
      <c r="H11" s="7"/>
      <c r="I11" s="7" t="str">
        <f t="shared" si="0"/>
        <v>Tidak</v>
      </c>
      <c r="J11" s="7" t="str">
        <f t="shared" si="1"/>
        <v>Tidak</v>
      </c>
      <c r="K11" s="7" t="str">
        <f t="shared" si="2"/>
        <v>Tidak</v>
      </c>
      <c r="L11" s="7" t="str">
        <f t="shared" si="3"/>
        <v>Tidak</v>
      </c>
      <c r="M11" s="7" t="str">
        <f t="shared" si="4"/>
        <v>Tidak</v>
      </c>
      <c r="N11" s="7" t="str">
        <f t="shared" si="5"/>
        <v>Tidak</v>
      </c>
      <c r="O11" s="7" t="str">
        <f t="shared" si="6"/>
        <v>Tidak</v>
      </c>
      <c r="P11" s="7" t="str">
        <f t="shared" si="7"/>
        <v>Tidak</v>
      </c>
      <c r="Q11" s="7" t="str">
        <f t="shared" si="8"/>
        <v>Tidak</v>
      </c>
      <c r="R11" s="7" t="str">
        <f t="shared" si="9"/>
        <v>Tidak</v>
      </c>
      <c r="S11" s="7" t="str">
        <f t="shared" si="10"/>
        <v>Tidak</v>
      </c>
      <c r="T11" s="7" t="str">
        <f t="shared" si="11"/>
        <v>Tidak</v>
      </c>
      <c r="U11" s="7" t="str">
        <f t="shared" si="12"/>
        <v>Tidak</v>
      </c>
      <c r="V11" s="7" t="str">
        <f t="shared" si="13"/>
        <v>Tidak</v>
      </c>
      <c r="W11" s="7" t="str">
        <f t="shared" si="14"/>
        <v>Tidak</v>
      </c>
      <c r="X11" s="7" t="str">
        <f t="shared" si="15"/>
        <v>Tidak</v>
      </c>
      <c r="Y11" s="8">
        <v>44931</v>
      </c>
      <c r="Z11" s="7" t="s">
        <v>136</v>
      </c>
      <c r="AA11" s="7">
        <f t="shared" si="16"/>
        <v>3</v>
      </c>
      <c r="AB11" s="7" t="str">
        <f t="shared" si="17"/>
        <v>Besar</v>
      </c>
      <c r="AC11" s="7" t="str">
        <f t="shared" si="18"/>
        <v>Ya</v>
      </c>
      <c r="AD11" s="7" t="s">
        <v>137</v>
      </c>
      <c r="AE11" s="7" t="s">
        <v>57</v>
      </c>
      <c r="AF11" s="7" t="str">
        <f t="shared" si="19"/>
        <v>Maksektomi</v>
      </c>
      <c r="AG11" s="8">
        <v>44937</v>
      </c>
      <c r="AH11" s="7" t="s">
        <v>32</v>
      </c>
      <c r="AI11" s="8">
        <v>44971</v>
      </c>
      <c r="AJ11" s="7" t="s">
        <v>138</v>
      </c>
      <c r="AK11" s="7" t="s">
        <v>139</v>
      </c>
      <c r="AL11" s="8">
        <v>45140</v>
      </c>
      <c r="AM11" s="7" t="s">
        <v>140</v>
      </c>
      <c r="AN11" s="12">
        <v>45195</v>
      </c>
      <c r="AO11" s="7" t="s">
        <v>141</v>
      </c>
      <c r="AP11" s="7">
        <v>25</v>
      </c>
      <c r="AQ11" s="8">
        <v>45237</v>
      </c>
      <c r="AR11" s="7" t="s">
        <v>142</v>
      </c>
      <c r="AS11" s="7" t="s">
        <v>143</v>
      </c>
      <c r="AT11" s="7" t="str">
        <f t="shared" si="20"/>
        <v>Tidak ada</v>
      </c>
      <c r="AU11" s="7" t="s">
        <v>144</v>
      </c>
      <c r="AV11" s="7" t="str">
        <f t="shared" si="21"/>
        <v>Tidak ada</v>
      </c>
      <c r="AW11" s="7" t="str">
        <f t="shared" si="22"/>
        <v>Efektif</v>
      </c>
      <c r="AX11" s="7" t="s">
        <v>121</v>
      </c>
    </row>
    <row r="12" spans="1:50" x14ac:dyDescent="0.35">
      <c r="A12" s="7">
        <v>11</v>
      </c>
      <c r="B12" s="7">
        <v>1998217</v>
      </c>
      <c r="C12" s="7" t="s">
        <v>79</v>
      </c>
      <c r="D12" s="21">
        <v>40</v>
      </c>
      <c r="E12" s="7" t="s">
        <v>145</v>
      </c>
      <c r="F12" s="7">
        <v>1.45</v>
      </c>
      <c r="G12" s="7" t="s">
        <v>102</v>
      </c>
      <c r="H12" s="7" t="s">
        <v>146</v>
      </c>
      <c r="I12" s="7" t="str">
        <f t="shared" si="0"/>
        <v>Tidak</v>
      </c>
      <c r="J12" s="7" t="str">
        <f t="shared" si="1"/>
        <v>Tidak</v>
      </c>
      <c r="K12" s="7" t="str">
        <f t="shared" si="2"/>
        <v>Ya</v>
      </c>
      <c r="L12" s="7" t="str">
        <f t="shared" si="3"/>
        <v>Tidak</v>
      </c>
      <c r="M12" s="7" t="str">
        <f t="shared" si="4"/>
        <v>Tidak</v>
      </c>
      <c r="N12" s="7" t="str">
        <f t="shared" si="5"/>
        <v>Ya</v>
      </c>
      <c r="O12" s="7" t="str">
        <f t="shared" si="6"/>
        <v>Tidak</v>
      </c>
      <c r="P12" s="7" t="str">
        <f t="shared" si="7"/>
        <v>Tidak</v>
      </c>
      <c r="Q12" s="7" t="str">
        <f t="shared" si="8"/>
        <v>Tidak</v>
      </c>
      <c r="R12" s="7" t="str">
        <f t="shared" si="9"/>
        <v>Tidak</v>
      </c>
      <c r="S12" s="7" t="str">
        <f t="shared" si="10"/>
        <v>Tidak</v>
      </c>
      <c r="T12" s="7" t="str">
        <f t="shared" si="11"/>
        <v>Tidak</v>
      </c>
      <c r="U12" s="7" t="str">
        <f t="shared" si="12"/>
        <v>Tidak</v>
      </c>
      <c r="V12" s="7" t="str">
        <f t="shared" si="13"/>
        <v>Tidak</v>
      </c>
      <c r="W12" s="7" t="str">
        <f t="shared" si="14"/>
        <v>Tidak</v>
      </c>
      <c r="X12" s="7" t="str">
        <f t="shared" si="15"/>
        <v>Tidak</v>
      </c>
      <c r="Y12" s="8">
        <v>44199</v>
      </c>
      <c r="Z12" s="7" t="s">
        <v>147</v>
      </c>
      <c r="AA12" s="7">
        <f t="shared" si="16"/>
        <v>3</v>
      </c>
      <c r="AB12" s="7" t="str">
        <f t="shared" si="17"/>
        <v>Besar</v>
      </c>
      <c r="AC12" s="7" t="str">
        <f t="shared" si="18"/>
        <v>Ya</v>
      </c>
      <c r="AD12" s="7" t="s">
        <v>148</v>
      </c>
      <c r="AE12" s="7" t="s">
        <v>57</v>
      </c>
      <c r="AF12" s="7" t="str">
        <f t="shared" si="19"/>
        <v>Maksektomi</v>
      </c>
      <c r="AG12" s="8">
        <v>44581</v>
      </c>
      <c r="AH12" s="7" t="s">
        <v>32</v>
      </c>
      <c r="AI12" s="8">
        <v>44615</v>
      </c>
      <c r="AJ12" s="7" t="s">
        <v>149</v>
      </c>
      <c r="AK12" s="7" t="s">
        <v>139</v>
      </c>
      <c r="AL12" s="8">
        <v>44792</v>
      </c>
      <c r="AM12" s="7" t="s">
        <v>150</v>
      </c>
      <c r="AN12" s="8">
        <v>44894</v>
      </c>
      <c r="AO12" s="7" t="s">
        <v>141</v>
      </c>
      <c r="AP12" s="7">
        <v>25</v>
      </c>
      <c r="AQ12" s="8">
        <v>44928</v>
      </c>
      <c r="AR12" s="7" t="s">
        <v>151</v>
      </c>
      <c r="AS12" s="7" t="s">
        <v>152</v>
      </c>
      <c r="AT12" s="7" t="str">
        <f t="shared" si="20"/>
        <v>Tidak ada</v>
      </c>
      <c r="AU12" s="7" t="s">
        <v>153</v>
      </c>
      <c r="AV12" s="7" t="str">
        <f t="shared" si="21"/>
        <v>Tidak ada</v>
      </c>
      <c r="AW12" s="7" t="str">
        <f t="shared" si="22"/>
        <v>Efektif</v>
      </c>
      <c r="AX12" s="7" t="s">
        <v>121</v>
      </c>
    </row>
    <row r="13" spans="1:50" x14ac:dyDescent="0.35">
      <c r="A13" s="7">
        <v>12</v>
      </c>
      <c r="B13" s="7">
        <v>2009692</v>
      </c>
      <c r="C13" s="7" t="s">
        <v>154</v>
      </c>
      <c r="D13" s="21">
        <v>63</v>
      </c>
      <c r="E13" s="7" t="s">
        <v>155</v>
      </c>
      <c r="F13" s="7">
        <v>1.25</v>
      </c>
      <c r="G13" s="7" t="s">
        <v>114</v>
      </c>
      <c r="H13" s="7" t="s">
        <v>91</v>
      </c>
      <c r="I13" s="7" t="str">
        <f t="shared" si="0"/>
        <v>Ya</v>
      </c>
      <c r="J13" s="7" t="str">
        <f t="shared" si="1"/>
        <v>Tidak</v>
      </c>
      <c r="K13" s="7" t="str">
        <f t="shared" si="2"/>
        <v>Tidak</v>
      </c>
      <c r="L13" s="7" t="str">
        <f t="shared" si="3"/>
        <v>Tidak</v>
      </c>
      <c r="M13" s="7" t="str">
        <f t="shared" si="4"/>
        <v>Tidak</v>
      </c>
      <c r="N13" s="7" t="str">
        <f t="shared" si="5"/>
        <v>Tidak</v>
      </c>
      <c r="O13" s="7" t="str">
        <f t="shared" si="6"/>
        <v>Tidak</v>
      </c>
      <c r="P13" s="7" t="str">
        <f t="shared" si="7"/>
        <v>Tidak</v>
      </c>
      <c r="Q13" s="7" t="str">
        <f t="shared" si="8"/>
        <v>Tidak</v>
      </c>
      <c r="R13" s="7" t="str">
        <f t="shared" si="9"/>
        <v>Tidak</v>
      </c>
      <c r="S13" s="7" t="str">
        <f t="shared" si="10"/>
        <v>Tidak</v>
      </c>
      <c r="T13" s="7" t="str">
        <f t="shared" si="11"/>
        <v>Tidak</v>
      </c>
      <c r="U13" s="7" t="str">
        <f t="shared" si="12"/>
        <v>Tidak</v>
      </c>
      <c r="V13" s="7" t="str">
        <f t="shared" si="13"/>
        <v>Tidak</v>
      </c>
      <c r="W13" s="7" t="str">
        <f t="shared" si="14"/>
        <v>Tidak</v>
      </c>
      <c r="X13" s="7" t="str">
        <f t="shared" si="15"/>
        <v>Tidak</v>
      </c>
      <c r="Y13" s="8">
        <v>44673</v>
      </c>
      <c r="Z13" s="7" t="s">
        <v>156</v>
      </c>
      <c r="AA13" s="7">
        <f t="shared" si="16"/>
        <v>1</v>
      </c>
      <c r="AB13" s="7" t="str">
        <f t="shared" si="17"/>
        <v>Kecil</v>
      </c>
      <c r="AC13" s="7" t="str">
        <f t="shared" si="18"/>
        <v>Tidak diketahui</v>
      </c>
      <c r="AD13" s="7" t="s">
        <v>157</v>
      </c>
      <c r="AE13" s="7" t="s">
        <v>31</v>
      </c>
      <c r="AF13" s="7" t="str">
        <f t="shared" si="19"/>
        <v>Maksektomi</v>
      </c>
      <c r="AG13" s="8">
        <v>45053</v>
      </c>
      <c r="AH13" s="7" t="s">
        <v>32</v>
      </c>
      <c r="AI13" s="8">
        <v>45100</v>
      </c>
      <c r="AJ13" s="7" t="s">
        <v>158</v>
      </c>
      <c r="AK13" s="7" t="s">
        <v>107</v>
      </c>
      <c r="AL13" s="8">
        <v>45251</v>
      </c>
      <c r="AM13" s="7" t="s">
        <v>159</v>
      </c>
      <c r="AN13" s="8">
        <v>44719</v>
      </c>
      <c r="AO13" s="7" t="s">
        <v>160</v>
      </c>
      <c r="AP13" s="7">
        <v>33</v>
      </c>
      <c r="AQ13" s="8">
        <v>44763</v>
      </c>
      <c r="AR13" s="7" t="s">
        <v>161</v>
      </c>
      <c r="AS13" s="7" t="s">
        <v>921</v>
      </c>
      <c r="AT13" s="7" t="str">
        <f t="shared" si="20"/>
        <v>Tidak ada</v>
      </c>
      <c r="AU13" s="7" t="s">
        <v>162</v>
      </c>
      <c r="AV13" s="7" t="str">
        <f t="shared" si="21"/>
        <v>Tidak ada</v>
      </c>
      <c r="AW13" s="7" t="str">
        <f t="shared" si="22"/>
        <v>Efektif</v>
      </c>
      <c r="AX13" s="7" t="s">
        <v>163</v>
      </c>
    </row>
    <row r="14" spans="1:50" x14ac:dyDescent="0.35">
      <c r="A14" s="7">
        <v>13</v>
      </c>
      <c r="B14" s="7">
        <v>2030944</v>
      </c>
      <c r="C14" s="7" t="s">
        <v>164</v>
      </c>
      <c r="D14" s="21">
        <v>51</v>
      </c>
      <c r="E14" s="7" t="s">
        <v>165</v>
      </c>
      <c r="F14" s="7">
        <v>1.36</v>
      </c>
      <c r="G14" s="7" t="s">
        <v>166</v>
      </c>
      <c r="H14" s="7"/>
      <c r="I14" s="7" t="str">
        <f t="shared" si="0"/>
        <v>Tidak</v>
      </c>
      <c r="J14" s="7" t="str">
        <f t="shared" si="1"/>
        <v>Tidak</v>
      </c>
      <c r="K14" s="7" t="str">
        <f t="shared" si="2"/>
        <v>Tidak</v>
      </c>
      <c r="L14" s="7" t="str">
        <f t="shared" si="3"/>
        <v>Tidak</v>
      </c>
      <c r="M14" s="7" t="str">
        <f t="shared" si="4"/>
        <v>Tidak</v>
      </c>
      <c r="N14" s="7" t="str">
        <f t="shared" si="5"/>
        <v>Tidak</v>
      </c>
      <c r="O14" s="7" t="str">
        <f t="shared" si="6"/>
        <v>Tidak</v>
      </c>
      <c r="P14" s="7" t="str">
        <f t="shared" si="7"/>
        <v>Tidak</v>
      </c>
      <c r="Q14" s="7" t="str">
        <f t="shared" si="8"/>
        <v>Tidak</v>
      </c>
      <c r="R14" s="7" t="str">
        <f t="shared" si="9"/>
        <v>Tidak</v>
      </c>
      <c r="S14" s="7" t="str">
        <f t="shared" si="10"/>
        <v>Tidak</v>
      </c>
      <c r="T14" s="7" t="str">
        <f t="shared" si="11"/>
        <v>Tidak</v>
      </c>
      <c r="U14" s="7" t="str">
        <f t="shared" si="12"/>
        <v>Tidak</v>
      </c>
      <c r="V14" s="7" t="str">
        <f t="shared" si="13"/>
        <v>Tidak</v>
      </c>
      <c r="W14" s="7" t="str">
        <f t="shared" si="14"/>
        <v>Tidak</v>
      </c>
      <c r="X14" s="7" t="str">
        <f t="shared" si="15"/>
        <v>Tidak</v>
      </c>
      <c r="Y14" s="8">
        <v>44851</v>
      </c>
      <c r="Z14" s="7" t="s">
        <v>147</v>
      </c>
      <c r="AA14" s="7">
        <f t="shared" si="16"/>
        <v>3</v>
      </c>
      <c r="AB14" s="7" t="str">
        <f t="shared" si="17"/>
        <v>Besar</v>
      </c>
      <c r="AC14" s="7" t="str">
        <f t="shared" si="18"/>
        <v>Ya</v>
      </c>
      <c r="AD14" s="2" t="s">
        <v>167</v>
      </c>
      <c r="AE14" s="7" t="s">
        <v>94</v>
      </c>
      <c r="AF14" s="7" t="str">
        <f t="shared" si="19"/>
        <v>Maksektomi</v>
      </c>
      <c r="AG14" s="7">
        <v>2022</v>
      </c>
      <c r="AH14" s="7" t="s">
        <v>32</v>
      </c>
      <c r="AI14" s="8">
        <v>44866</v>
      </c>
      <c r="AJ14" s="7" t="s">
        <v>168</v>
      </c>
      <c r="AK14" s="7" t="s">
        <v>139</v>
      </c>
      <c r="AL14" s="8">
        <v>45075</v>
      </c>
      <c r="AM14" s="7" t="s">
        <v>169</v>
      </c>
      <c r="AN14" s="8">
        <v>45219</v>
      </c>
      <c r="AO14" s="7" t="s">
        <v>141</v>
      </c>
      <c r="AP14" s="7">
        <v>25</v>
      </c>
      <c r="AQ14" s="8">
        <v>45260</v>
      </c>
      <c r="AR14" s="7" t="s">
        <v>170</v>
      </c>
      <c r="AS14" s="7" t="s">
        <v>171</v>
      </c>
      <c r="AT14" s="7" t="str">
        <f t="shared" si="20"/>
        <v>Tidak ada</v>
      </c>
      <c r="AU14" s="7" t="s">
        <v>172</v>
      </c>
      <c r="AV14" s="7" t="str">
        <f t="shared" si="21"/>
        <v>Tidak ada</v>
      </c>
      <c r="AW14" s="7" t="str">
        <f t="shared" si="22"/>
        <v>Efektif</v>
      </c>
      <c r="AX14" s="7" t="s">
        <v>121</v>
      </c>
    </row>
    <row r="15" spans="1:50" x14ac:dyDescent="0.35">
      <c r="A15" s="7">
        <v>14</v>
      </c>
      <c r="B15" s="7">
        <v>2013069</v>
      </c>
      <c r="C15" s="7" t="s">
        <v>173</v>
      </c>
      <c r="D15" s="21">
        <v>52</v>
      </c>
      <c r="E15" s="7" t="s">
        <v>174</v>
      </c>
      <c r="F15" s="7">
        <v>1.52</v>
      </c>
      <c r="G15" s="7" t="s">
        <v>175</v>
      </c>
      <c r="H15" s="7"/>
      <c r="I15" s="7" t="str">
        <f t="shared" si="0"/>
        <v>Tidak</v>
      </c>
      <c r="J15" s="7" t="str">
        <f t="shared" si="1"/>
        <v>Tidak</v>
      </c>
      <c r="K15" s="7" t="str">
        <f t="shared" si="2"/>
        <v>Tidak</v>
      </c>
      <c r="L15" s="7" t="str">
        <f t="shared" si="3"/>
        <v>Tidak</v>
      </c>
      <c r="M15" s="7" t="str">
        <f t="shared" si="4"/>
        <v>Tidak</v>
      </c>
      <c r="N15" s="7" t="str">
        <f t="shared" si="5"/>
        <v>Tidak</v>
      </c>
      <c r="O15" s="7" t="str">
        <f t="shared" si="6"/>
        <v>Tidak</v>
      </c>
      <c r="P15" s="7" t="str">
        <f t="shared" si="7"/>
        <v>Tidak</v>
      </c>
      <c r="Q15" s="7" t="str">
        <f t="shared" si="8"/>
        <v>Tidak</v>
      </c>
      <c r="R15" s="7" t="str">
        <f t="shared" si="9"/>
        <v>Tidak</v>
      </c>
      <c r="S15" s="7" t="str">
        <f t="shared" si="10"/>
        <v>Tidak</v>
      </c>
      <c r="T15" s="7" t="str">
        <f t="shared" si="11"/>
        <v>Tidak</v>
      </c>
      <c r="U15" s="7" t="str">
        <f t="shared" si="12"/>
        <v>Tidak</v>
      </c>
      <c r="V15" s="7" t="str">
        <f t="shared" si="13"/>
        <v>Tidak</v>
      </c>
      <c r="W15" s="7" t="str">
        <f t="shared" si="14"/>
        <v>Tidak</v>
      </c>
      <c r="X15" s="7" t="str">
        <f t="shared" si="15"/>
        <v>Tidak</v>
      </c>
      <c r="Y15" s="8">
        <v>44711</v>
      </c>
      <c r="Z15" s="7" t="s">
        <v>147</v>
      </c>
      <c r="AA15" s="7">
        <f t="shared" si="16"/>
        <v>3</v>
      </c>
      <c r="AB15" s="7" t="str">
        <f t="shared" si="17"/>
        <v>Besar</v>
      </c>
      <c r="AC15" s="7" t="str">
        <f t="shared" si="18"/>
        <v>Ya</v>
      </c>
      <c r="AD15" s="7" t="s">
        <v>176</v>
      </c>
      <c r="AE15" s="7" t="s">
        <v>31</v>
      </c>
      <c r="AF15" s="7" t="str">
        <f t="shared" si="19"/>
        <v>Maksektomi</v>
      </c>
      <c r="AG15" s="8">
        <v>44717</v>
      </c>
      <c r="AH15" s="7" t="s">
        <v>32</v>
      </c>
      <c r="AI15" s="8">
        <v>44768</v>
      </c>
      <c r="AJ15" s="7" t="s">
        <v>177</v>
      </c>
      <c r="AK15" s="7" t="s">
        <v>34</v>
      </c>
      <c r="AL15" s="8">
        <v>44880</v>
      </c>
      <c r="AM15" s="7" t="s">
        <v>178</v>
      </c>
      <c r="AN15" s="8">
        <v>44945</v>
      </c>
      <c r="AO15" s="7" t="s">
        <v>141</v>
      </c>
      <c r="AP15" s="7">
        <v>25</v>
      </c>
      <c r="AQ15" s="8">
        <v>44981</v>
      </c>
      <c r="AR15" s="7" t="s">
        <v>179</v>
      </c>
      <c r="AS15" s="7" t="s">
        <v>180</v>
      </c>
      <c r="AT15" s="7" t="str">
        <f t="shared" si="20"/>
        <v>Tidak ada</v>
      </c>
      <c r="AU15" s="7" t="s">
        <v>181</v>
      </c>
      <c r="AV15" s="7" t="str">
        <f t="shared" si="21"/>
        <v>Tidak ada</v>
      </c>
      <c r="AW15" s="7" t="str">
        <f t="shared" si="22"/>
        <v>Efektif</v>
      </c>
      <c r="AX15" s="7"/>
    </row>
    <row r="16" spans="1:50" x14ac:dyDescent="0.35">
      <c r="A16" s="7">
        <v>15</v>
      </c>
      <c r="B16" s="7">
        <v>2012166</v>
      </c>
      <c r="C16" s="7" t="s">
        <v>182</v>
      </c>
      <c r="D16" s="21">
        <v>51</v>
      </c>
      <c r="E16" s="7" t="s">
        <v>183</v>
      </c>
      <c r="F16" s="7">
        <v>1.59</v>
      </c>
      <c r="G16" s="7" t="s">
        <v>175</v>
      </c>
      <c r="H16" s="7"/>
      <c r="I16" s="7" t="str">
        <f t="shared" si="0"/>
        <v>Tidak</v>
      </c>
      <c r="J16" s="7" t="str">
        <f t="shared" si="1"/>
        <v>Tidak</v>
      </c>
      <c r="K16" s="7" t="str">
        <f t="shared" si="2"/>
        <v>Tidak</v>
      </c>
      <c r="L16" s="7" t="str">
        <f t="shared" si="3"/>
        <v>Tidak</v>
      </c>
      <c r="M16" s="7" t="str">
        <f t="shared" si="4"/>
        <v>Tidak</v>
      </c>
      <c r="N16" s="7" t="str">
        <f t="shared" si="5"/>
        <v>Tidak</v>
      </c>
      <c r="O16" s="7" t="str">
        <f t="shared" si="6"/>
        <v>Tidak</v>
      </c>
      <c r="P16" s="7" t="str">
        <f t="shared" si="7"/>
        <v>Tidak</v>
      </c>
      <c r="Q16" s="7" t="str">
        <f t="shared" si="8"/>
        <v>Tidak</v>
      </c>
      <c r="R16" s="7" t="str">
        <f t="shared" si="9"/>
        <v>Tidak</v>
      </c>
      <c r="S16" s="7" t="str">
        <f t="shared" si="10"/>
        <v>Tidak</v>
      </c>
      <c r="T16" s="7" t="str">
        <f t="shared" si="11"/>
        <v>Tidak</v>
      </c>
      <c r="U16" s="7" t="str">
        <f t="shared" si="12"/>
        <v>Tidak</v>
      </c>
      <c r="V16" s="7" t="str">
        <f t="shared" si="13"/>
        <v>Tidak</v>
      </c>
      <c r="W16" s="7" t="str">
        <f t="shared" si="14"/>
        <v>Tidak</v>
      </c>
      <c r="X16" s="7" t="str">
        <f t="shared" si="15"/>
        <v>Tidak</v>
      </c>
      <c r="Y16" s="8">
        <v>44701</v>
      </c>
      <c r="Z16" s="7" t="s">
        <v>184</v>
      </c>
      <c r="AA16" s="7">
        <f t="shared" si="16"/>
        <v>3</v>
      </c>
      <c r="AB16" s="7" t="str">
        <f t="shared" si="17"/>
        <v>Besar</v>
      </c>
      <c r="AC16" s="7" t="str">
        <f t="shared" si="18"/>
        <v>Tidak</v>
      </c>
      <c r="AD16" s="7" t="s">
        <v>185</v>
      </c>
      <c r="AE16" s="7" t="s">
        <v>31</v>
      </c>
      <c r="AF16" s="7" t="str">
        <f t="shared" si="19"/>
        <v>Maksektomi</v>
      </c>
      <c r="AG16" s="11">
        <v>44652</v>
      </c>
      <c r="AH16" s="7" t="s">
        <v>32</v>
      </c>
      <c r="AI16" s="8">
        <v>44736</v>
      </c>
      <c r="AJ16" s="7" t="s">
        <v>186</v>
      </c>
      <c r="AK16" s="7" t="s">
        <v>107</v>
      </c>
      <c r="AL16" s="12">
        <v>44847</v>
      </c>
      <c r="AM16" s="7" t="s">
        <v>187</v>
      </c>
      <c r="AN16" s="8">
        <v>45247</v>
      </c>
      <c r="AO16" s="7" t="s">
        <v>141</v>
      </c>
      <c r="AP16" s="7">
        <v>25</v>
      </c>
      <c r="AQ16" s="8">
        <v>44916</v>
      </c>
      <c r="AR16" s="7" t="s">
        <v>188</v>
      </c>
      <c r="AS16" s="7" t="s">
        <v>189</v>
      </c>
      <c r="AT16" s="7" t="str">
        <f t="shared" si="20"/>
        <v>Tidak ada</v>
      </c>
      <c r="AU16" s="7" t="s">
        <v>190</v>
      </c>
      <c r="AV16" s="7" t="str">
        <f t="shared" si="21"/>
        <v>Tidak ada</v>
      </c>
      <c r="AW16" s="7" t="str">
        <f t="shared" si="22"/>
        <v>Efektif</v>
      </c>
      <c r="AX16" s="7" t="s">
        <v>191</v>
      </c>
    </row>
    <row r="17" spans="1:50" x14ac:dyDescent="0.35">
      <c r="A17" s="7">
        <v>16</v>
      </c>
      <c r="B17" s="7">
        <v>2011285</v>
      </c>
      <c r="C17" s="7" t="s">
        <v>192</v>
      </c>
      <c r="D17" s="21">
        <v>54</v>
      </c>
      <c r="E17" s="7" t="s">
        <v>193</v>
      </c>
      <c r="F17" s="7">
        <v>1.55</v>
      </c>
      <c r="G17" s="7" t="s">
        <v>102</v>
      </c>
      <c r="H17" s="7"/>
      <c r="I17" s="7" t="str">
        <f t="shared" si="0"/>
        <v>Tidak</v>
      </c>
      <c r="J17" s="7" t="str">
        <f t="shared" si="1"/>
        <v>Tidak</v>
      </c>
      <c r="K17" s="7" t="str">
        <f t="shared" si="2"/>
        <v>Tidak</v>
      </c>
      <c r="L17" s="7" t="str">
        <f t="shared" si="3"/>
        <v>Tidak</v>
      </c>
      <c r="M17" s="7" t="str">
        <f t="shared" si="4"/>
        <v>Tidak</v>
      </c>
      <c r="N17" s="7" t="str">
        <f t="shared" si="5"/>
        <v>Tidak</v>
      </c>
      <c r="O17" s="7" t="str">
        <f t="shared" si="6"/>
        <v>Tidak</v>
      </c>
      <c r="P17" s="7" t="str">
        <f t="shared" si="7"/>
        <v>Tidak</v>
      </c>
      <c r="Q17" s="7" t="str">
        <f t="shared" si="8"/>
        <v>Tidak</v>
      </c>
      <c r="R17" s="7" t="str">
        <f t="shared" si="9"/>
        <v>Tidak</v>
      </c>
      <c r="S17" s="7" t="str">
        <f t="shared" si="10"/>
        <v>Tidak</v>
      </c>
      <c r="T17" s="7" t="str">
        <f t="shared" si="11"/>
        <v>Tidak</v>
      </c>
      <c r="U17" s="7" t="str">
        <f t="shared" si="12"/>
        <v>Tidak</v>
      </c>
      <c r="V17" s="7" t="str">
        <f t="shared" si="13"/>
        <v>Tidak</v>
      </c>
      <c r="W17" s="7" t="str">
        <f t="shared" si="14"/>
        <v>Tidak</v>
      </c>
      <c r="X17" s="7" t="str">
        <f t="shared" si="15"/>
        <v>Tidak</v>
      </c>
      <c r="Y17" s="8">
        <v>44693</v>
      </c>
      <c r="Z17" s="7" t="s">
        <v>194</v>
      </c>
      <c r="AA17" s="7">
        <f t="shared" si="16"/>
        <v>4</v>
      </c>
      <c r="AB17" s="7" t="str">
        <f t="shared" si="17"/>
        <v>Sedang</v>
      </c>
      <c r="AC17" s="7" t="str">
        <f t="shared" si="18"/>
        <v>Tidak diketahui</v>
      </c>
      <c r="AD17" s="7" t="s">
        <v>195</v>
      </c>
      <c r="AE17" s="7" t="s">
        <v>94</v>
      </c>
      <c r="AF17" s="7" t="str">
        <f t="shared" si="19"/>
        <v>Maksektomi</v>
      </c>
      <c r="AG17" s="8">
        <v>44581</v>
      </c>
      <c r="AH17" s="7" t="s">
        <v>32</v>
      </c>
      <c r="AI17" s="8">
        <v>44799</v>
      </c>
      <c r="AJ17" s="7" t="s">
        <v>196</v>
      </c>
      <c r="AK17" s="7" t="s">
        <v>139</v>
      </c>
      <c r="AL17" s="8">
        <v>44951</v>
      </c>
      <c r="AM17" s="7" t="s">
        <v>197</v>
      </c>
      <c r="AN17" s="8">
        <v>44753</v>
      </c>
      <c r="AO17" s="7" t="s">
        <v>198</v>
      </c>
      <c r="AP17" s="7">
        <v>25</v>
      </c>
      <c r="AQ17" s="8">
        <v>44785</v>
      </c>
      <c r="AR17" s="7" t="s">
        <v>199</v>
      </c>
      <c r="AS17" s="7" t="s">
        <v>921</v>
      </c>
      <c r="AT17" s="7" t="str">
        <f t="shared" si="20"/>
        <v>Tidak ada</v>
      </c>
      <c r="AU17" s="7" t="s">
        <v>200</v>
      </c>
      <c r="AV17" s="7" t="str">
        <f t="shared" si="21"/>
        <v>Tidak ada</v>
      </c>
      <c r="AW17" s="7" t="str">
        <f t="shared" si="22"/>
        <v>Efektif</v>
      </c>
      <c r="AX17" s="7" t="s">
        <v>201</v>
      </c>
    </row>
    <row r="18" spans="1:50" x14ac:dyDescent="0.35">
      <c r="A18" s="7">
        <v>17</v>
      </c>
      <c r="B18" s="7">
        <v>1931288</v>
      </c>
      <c r="C18" s="7" t="s">
        <v>202</v>
      </c>
      <c r="D18" s="21">
        <v>59</v>
      </c>
      <c r="E18" s="7" t="s">
        <v>203</v>
      </c>
      <c r="F18" s="7">
        <v>1.74</v>
      </c>
      <c r="G18" s="7" t="s">
        <v>102</v>
      </c>
      <c r="H18" s="7" t="s">
        <v>204</v>
      </c>
      <c r="I18" s="7" t="str">
        <f t="shared" si="0"/>
        <v>Tidak</v>
      </c>
      <c r="J18" s="7" t="str">
        <f t="shared" si="1"/>
        <v>Tidak</v>
      </c>
      <c r="K18" s="7" t="str">
        <f t="shared" si="2"/>
        <v>Tidak</v>
      </c>
      <c r="L18" s="7" t="str">
        <f t="shared" si="3"/>
        <v>Tidak</v>
      </c>
      <c r="M18" s="7" t="str">
        <f t="shared" si="4"/>
        <v>Tidak</v>
      </c>
      <c r="N18" s="7" t="str">
        <f t="shared" si="5"/>
        <v>Tidak</v>
      </c>
      <c r="O18" s="7" t="str">
        <f t="shared" si="6"/>
        <v>Tidak</v>
      </c>
      <c r="P18" s="7" t="str">
        <f t="shared" si="7"/>
        <v>Tidak</v>
      </c>
      <c r="Q18" s="7" t="str">
        <f t="shared" si="8"/>
        <v>Tidak</v>
      </c>
      <c r="R18" s="7" t="str">
        <f t="shared" si="9"/>
        <v>Tidak</v>
      </c>
      <c r="S18" s="7" t="str">
        <f t="shared" si="10"/>
        <v>Tidak</v>
      </c>
      <c r="T18" s="7" t="str">
        <f t="shared" si="11"/>
        <v>Tidak</v>
      </c>
      <c r="U18" s="7" t="str">
        <f t="shared" si="12"/>
        <v>Tidak</v>
      </c>
      <c r="V18" s="7" t="str">
        <f t="shared" si="13"/>
        <v>Ya</v>
      </c>
      <c r="W18" s="7" t="str">
        <f t="shared" si="14"/>
        <v>Tidak</v>
      </c>
      <c r="X18" s="7" t="str">
        <f t="shared" si="15"/>
        <v>Tidak</v>
      </c>
      <c r="Y18" s="8">
        <v>44677</v>
      </c>
      <c r="Z18" s="7" t="s">
        <v>205</v>
      </c>
      <c r="AA18" s="7">
        <f t="shared" si="16"/>
        <v>3</v>
      </c>
      <c r="AB18" s="7" t="str">
        <f t="shared" si="17"/>
        <v>Menjalar ke kulit/dinding dada</v>
      </c>
      <c r="AC18" s="7" t="str">
        <f t="shared" si="18"/>
        <v>Ya</v>
      </c>
      <c r="AD18" s="7" t="s">
        <v>206</v>
      </c>
      <c r="AE18" s="7" t="s">
        <v>94</v>
      </c>
      <c r="AF18" s="7" t="str">
        <f t="shared" si="19"/>
        <v>Maksektomi</v>
      </c>
      <c r="AG18" s="8">
        <v>44698</v>
      </c>
      <c r="AH18" s="7" t="s">
        <v>32</v>
      </c>
      <c r="AI18" s="8">
        <v>44734</v>
      </c>
      <c r="AJ18" s="7" t="s">
        <v>207</v>
      </c>
      <c r="AK18" s="7" t="s">
        <v>139</v>
      </c>
      <c r="AL18" s="8">
        <v>44883</v>
      </c>
      <c r="AM18" s="7" t="s">
        <v>208</v>
      </c>
      <c r="AN18" s="12">
        <v>44979</v>
      </c>
      <c r="AO18" s="7" t="s">
        <v>198</v>
      </c>
      <c r="AP18" s="7">
        <v>20</v>
      </c>
      <c r="AQ18" s="8">
        <v>44998</v>
      </c>
      <c r="AR18" s="7" t="s">
        <v>209</v>
      </c>
      <c r="AS18" s="7" t="s">
        <v>210</v>
      </c>
      <c r="AT18" s="7" t="str">
        <f t="shared" si="20"/>
        <v>Tidak ada</v>
      </c>
      <c r="AU18" s="7" t="s">
        <v>211</v>
      </c>
      <c r="AV18" s="7" t="str">
        <f t="shared" si="21"/>
        <v>Tidak ada</v>
      </c>
      <c r="AW18" s="7" t="str">
        <f t="shared" si="22"/>
        <v>Efektif</v>
      </c>
      <c r="AX18" s="7" t="s">
        <v>201</v>
      </c>
    </row>
    <row r="19" spans="1:50" x14ac:dyDescent="0.35">
      <c r="A19" s="7">
        <v>18</v>
      </c>
      <c r="B19" s="7">
        <v>1998604</v>
      </c>
      <c r="C19" s="7" t="s">
        <v>212</v>
      </c>
      <c r="D19" s="21">
        <v>46</v>
      </c>
      <c r="E19" s="7" t="s">
        <v>213</v>
      </c>
      <c r="F19" s="7">
        <v>1.62</v>
      </c>
      <c r="G19" s="7" t="s">
        <v>102</v>
      </c>
      <c r="H19" s="7"/>
      <c r="I19" s="7" t="str">
        <f t="shared" si="0"/>
        <v>Tidak</v>
      </c>
      <c r="J19" s="7" t="str">
        <f t="shared" si="1"/>
        <v>Tidak</v>
      </c>
      <c r="K19" s="7" t="str">
        <f t="shared" si="2"/>
        <v>Tidak</v>
      </c>
      <c r="L19" s="7" t="str">
        <f t="shared" si="3"/>
        <v>Tidak</v>
      </c>
      <c r="M19" s="7" t="str">
        <f t="shared" si="4"/>
        <v>Tidak</v>
      </c>
      <c r="N19" s="7" t="str">
        <f t="shared" si="5"/>
        <v>Tidak</v>
      </c>
      <c r="O19" s="7" t="str">
        <f t="shared" si="6"/>
        <v>Tidak</v>
      </c>
      <c r="P19" s="7" t="str">
        <f t="shared" si="7"/>
        <v>Tidak</v>
      </c>
      <c r="Q19" s="7" t="str">
        <f t="shared" si="8"/>
        <v>Tidak</v>
      </c>
      <c r="R19" s="7" t="str">
        <f t="shared" si="9"/>
        <v>Tidak</v>
      </c>
      <c r="S19" s="7" t="str">
        <f t="shared" si="10"/>
        <v>Tidak</v>
      </c>
      <c r="T19" s="7" t="str">
        <f t="shared" si="11"/>
        <v>Tidak</v>
      </c>
      <c r="U19" s="7" t="str">
        <f t="shared" si="12"/>
        <v>Tidak</v>
      </c>
      <c r="V19" s="7" t="str">
        <f t="shared" si="13"/>
        <v>Tidak</v>
      </c>
      <c r="W19" s="7" t="str">
        <f t="shared" si="14"/>
        <v>Tidak</v>
      </c>
      <c r="X19" s="7" t="str">
        <f t="shared" si="15"/>
        <v>Tidak</v>
      </c>
      <c r="Y19" s="8">
        <v>44567</v>
      </c>
      <c r="Z19" s="7" t="s">
        <v>184</v>
      </c>
      <c r="AA19" s="7">
        <f t="shared" si="16"/>
        <v>3</v>
      </c>
      <c r="AB19" s="7" t="str">
        <f t="shared" si="17"/>
        <v>Besar</v>
      </c>
      <c r="AC19" s="7" t="str">
        <f t="shared" si="18"/>
        <v>Tidak</v>
      </c>
      <c r="AD19" s="7" t="s">
        <v>214</v>
      </c>
      <c r="AE19" s="7" t="s">
        <v>94</v>
      </c>
      <c r="AF19" s="7" t="str">
        <f t="shared" si="19"/>
        <v>Maksektomi</v>
      </c>
      <c r="AG19" s="8">
        <v>44574</v>
      </c>
      <c r="AH19" s="7" t="s">
        <v>32</v>
      </c>
      <c r="AI19" s="8">
        <v>44734</v>
      </c>
      <c r="AJ19" s="7" t="s">
        <v>215</v>
      </c>
      <c r="AK19" s="7" t="s">
        <v>72</v>
      </c>
      <c r="AL19" s="8">
        <v>44743</v>
      </c>
      <c r="AM19" s="7" t="s">
        <v>216</v>
      </c>
      <c r="AN19" s="8">
        <v>44830</v>
      </c>
      <c r="AO19" s="7" t="s">
        <v>141</v>
      </c>
      <c r="AP19" s="7">
        <v>25</v>
      </c>
      <c r="AQ19" s="8">
        <v>44865</v>
      </c>
      <c r="AR19" s="7" t="s">
        <v>217</v>
      </c>
      <c r="AS19" s="7" t="s">
        <v>921</v>
      </c>
      <c r="AT19" s="7" t="str">
        <f t="shared" si="20"/>
        <v>Tidak ada</v>
      </c>
      <c r="AU19" s="7" t="s">
        <v>218</v>
      </c>
      <c r="AV19" s="7" t="str">
        <f t="shared" si="21"/>
        <v>Tidak ada</v>
      </c>
      <c r="AW19" s="7" t="str">
        <f t="shared" si="22"/>
        <v>Efektif</v>
      </c>
      <c r="AX19" s="7" t="s">
        <v>219</v>
      </c>
    </row>
    <row r="20" spans="1:50" x14ac:dyDescent="0.35">
      <c r="A20" s="7">
        <v>19</v>
      </c>
      <c r="B20" s="7">
        <v>2009072</v>
      </c>
      <c r="C20" s="7" t="s">
        <v>220</v>
      </c>
      <c r="D20" s="21">
        <v>58</v>
      </c>
      <c r="E20" s="7" t="s">
        <v>221</v>
      </c>
      <c r="F20" s="7">
        <v>1.44</v>
      </c>
      <c r="G20" s="7" t="s">
        <v>222</v>
      </c>
      <c r="H20" s="7" t="s">
        <v>223</v>
      </c>
      <c r="I20" s="7" t="str">
        <f t="shared" si="0"/>
        <v>Tidak</v>
      </c>
      <c r="J20" s="7" t="str">
        <f t="shared" si="1"/>
        <v>Tidak</v>
      </c>
      <c r="K20" s="7" t="str">
        <f t="shared" si="2"/>
        <v>Tidak</v>
      </c>
      <c r="L20" s="7" t="str">
        <f t="shared" si="3"/>
        <v>Tidak</v>
      </c>
      <c r="M20" s="7" t="str">
        <f t="shared" si="4"/>
        <v>Tidak</v>
      </c>
      <c r="N20" s="7" t="str">
        <f t="shared" si="5"/>
        <v>Tidak</v>
      </c>
      <c r="O20" s="7" t="str">
        <f t="shared" si="6"/>
        <v>Tidak</v>
      </c>
      <c r="P20" s="7" t="str">
        <f t="shared" si="7"/>
        <v>Tidak</v>
      </c>
      <c r="Q20" s="7" t="str">
        <f t="shared" si="8"/>
        <v>Ya</v>
      </c>
      <c r="R20" s="7" t="str">
        <f t="shared" si="9"/>
        <v>Tidak</v>
      </c>
      <c r="S20" s="7" t="str">
        <f t="shared" si="10"/>
        <v>Tidak</v>
      </c>
      <c r="T20" s="7" t="str">
        <f t="shared" si="11"/>
        <v>Tidak</v>
      </c>
      <c r="U20" s="7" t="str">
        <f t="shared" si="12"/>
        <v>Tidak</v>
      </c>
      <c r="V20" s="7" t="str">
        <f t="shared" si="13"/>
        <v>Tidak</v>
      </c>
      <c r="W20" s="7" t="str">
        <f t="shared" si="14"/>
        <v>Tidak</v>
      </c>
      <c r="X20" s="7" t="str">
        <f t="shared" si="15"/>
        <v>Tidak</v>
      </c>
      <c r="Y20" s="8">
        <v>44669</v>
      </c>
      <c r="Z20" s="7" t="s">
        <v>224</v>
      </c>
      <c r="AA20" s="7">
        <f t="shared" si="16"/>
        <v>2</v>
      </c>
      <c r="AB20" s="7" t="str">
        <f t="shared" si="17"/>
        <v>Sedang</v>
      </c>
      <c r="AC20" s="7" t="str">
        <f t="shared" si="18"/>
        <v>Ya</v>
      </c>
      <c r="AD20" s="7" t="s">
        <v>225</v>
      </c>
      <c r="AE20" s="7" t="s">
        <v>226</v>
      </c>
      <c r="AF20" s="7" t="str">
        <f t="shared" si="19"/>
        <v>Maksektomi</v>
      </c>
      <c r="AG20" s="8">
        <v>44669</v>
      </c>
      <c r="AH20" s="7" t="s">
        <v>227</v>
      </c>
      <c r="AI20" s="8">
        <v>44722</v>
      </c>
      <c r="AJ20" s="7" t="s">
        <v>228</v>
      </c>
      <c r="AK20" s="7" t="s">
        <v>72</v>
      </c>
      <c r="AL20" s="8">
        <v>44827</v>
      </c>
      <c r="AM20" s="7" t="s">
        <v>229</v>
      </c>
      <c r="AN20" s="8">
        <v>44860</v>
      </c>
      <c r="AO20" s="7" t="s">
        <v>36</v>
      </c>
      <c r="AP20" s="7">
        <v>25</v>
      </c>
      <c r="AQ20" s="8">
        <v>44894</v>
      </c>
      <c r="AR20" s="7" t="s">
        <v>230</v>
      </c>
      <c r="AS20" s="10" t="s">
        <v>231</v>
      </c>
      <c r="AT20" s="7" t="str">
        <f t="shared" si="20"/>
        <v>Tidak ada</v>
      </c>
      <c r="AU20" s="7" t="s">
        <v>232</v>
      </c>
      <c r="AV20" s="7" t="str">
        <f t="shared" si="21"/>
        <v>Tidak ada</v>
      </c>
      <c r="AW20" s="7" t="str">
        <f t="shared" si="22"/>
        <v>Efektif</v>
      </c>
      <c r="AX20" s="7"/>
    </row>
    <row r="21" spans="1:50" x14ac:dyDescent="0.35">
      <c r="A21" s="7">
        <v>20</v>
      </c>
      <c r="B21" s="7">
        <v>2012413</v>
      </c>
      <c r="C21" s="7" t="s">
        <v>233</v>
      </c>
      <c r="D21" s="21">
        <v>55</v>
      </c>
      <c r="E21" s="7" t="s">
        <v>234</v>
      </c>
      <c r="F21" s="7">
        <v>1.69</v>
      </c>
      <c r="G21" s="7" t="s">
        <v>222</v>
      </c>
      <c r="H21" s="7" t="s">
        <v>91</v>
      </c>
      <c r="I21" s="7" t="str">
        <f t="shared" si="0"/>
        <v>Ya</v>
      </c>
      <c r="J21" s="7" t="str">
        <f t="shared" si="1"/>
        <v>Tidak</v>
      </c>
      <c r="K21" s="7" t="str">
        <f t="shared" si="2"/>
        <v>Tidak</v>
      </c>
      <c r="L21" s="7" t="str">
        <f t="shared" si="3"/>
        <v>Tidak</v>
      </c>
      <c r="M21" s="7" t="str">
        <f t="shared" si="4"/>
        <v>Tidak</v>
      </c>
      <c r="N21" s="7" t="str">
        <f t="shared" si="5"/>
        <v>Tidak</v>
      </c>
      <c r="O21" s="7" t="str">
        <f t="shared" si="6"/>
        <v>Tidak</v>
      </c>
      <c r="P21" s="7" t="str">
        <f t="shared" si="7"/>
        <v>Tidak</v>
      </c>
      <c r="Q21" s="7" t="str">
        <f t="shared" si="8"/>
        <v>Tidak</v>
      </c>
      <c r="R21" s="7" t="str">
        <f t="shared" si="9"/>
        <v>Tidak</v>
      </c>
      <c r="S21" s="7" t="str">
        <f t="shared" si="10"/>
        <v>Tidak</v>
      </c>
      <c r="T21" s="7" t="str">
        <f t="shared" si="11"/>
        <v>Tidak</v>
      </c>
      <c r="U21" s="7" t="str">
        <f t="shared" si="12"/>
        <v>Tidak</v>
      </c>
      <c r="V21" s="7" t="str">
        <f t="shared" si="13"/>
        <v>Tidak</v>
      </c>
      <c r="W21" s="7" t="str">
        <f t="shared" si="14"/>
        <v>Tidak</v>
      </c>
      <c r="X21" s="7" t="str">
        <f t="shared" si="15"/>
        <v>Tidak</v>
      </c>
      <c r="Y21" s="8">
        <v>44704</v>
      </c>
      <c r="Z21" s="7" t="s">
        <v>184</v>
      </c>
      <c r="AA21" s="7">
        <f t="shared" si="16"/>
        <v>3</v>
      </c>
      <c r="AB21" s="7" t="str">
        <f t="shared" si="17"/>
        <v>Besar</v>
      </c>
      <c r="AC21" s="7" t="str">
        <f t="shared" si="18"/>
        <v>Tidak</v>
      </c>
      <c r="AD21" s="7" t="s">
        <v>235</v>
      </c>
      <c r="AE21" s="7" t="s">
        <v>94</v>
      </c>
      <c r="AF21" s="7" t="str">
        <f t="shared" si="19"/>
        <v>Maksektomi</v>
      </c>
      <c r="AG21" s="8">
        <v>44710</v>
      </c>
      <c r="AH21" s="7" t="s">
        <v>32</v>
      </c>
      <c r="AI21" s="8">
        <v>44739</v>
      </c>
      <c r="AJ21" s="7" t="s">
        <v>236</v>
      </c>
      <c r="AK21" s="7" t="s">
        <v>72</v>
      </c>
      <c r="AL21" s="8">
        <v>44844</v>
      </c>
      <c r="AM21" s="7" t="s">
        <v>237</v>
      </c>
      <c r="AN21" s="8">
        <v>44894</v>
      </c>
      <c r="AO21" s="7" t="s">
        <v>238</v>
      </c>
      <c r="AP21" s="7">
        <v>25</v>
      </c>
      <c r="AQ21" s="8">
        <v>44928</v>
      </c>
      <c r="AR21" s="7" t="s">
        <v>239</v>
      </c>
      <c r="AS21" s="7" t="s">
        <v>240</v>
      </c>
      <c r="AT21" s="7" t="str">
        <f t="shared" si="20"/>
        <v>Tidak ada</v>
      </c>
      <c r="AU21" s="7" t="s">
        <v>241</v>
      </c>
      <c r="AV21" s="7" t="str">
        <f t="shared" si="21"/>
        <v>Tidak ada</v>
      </c>
      <c r="AW21" s="7" t="str">
        <f t="shared" si="22"/>
        <v>Efektif</v>
      </c>
      <c r="AX21" s="7"/>
    </row>
    <row r="22" spans="1:50" x14ac:dyDescent="0.35">
      <c r="A22" s="7">
        <v>21</v>
      </c>
      <c r="B22" s="7">
        <v>2003614</v>
      </c>
      <c r="C22" s="7" t="s">
        <v>242</v>
      </c>
      <c r="D22" s="21">
        <v>63</v>
      </c>
      <c r="E22" s="7" t="s">
        <v>243</v>
      </c>
      <c r="F22" s="7">
        <v>1.66</v>
      </c>
      <c r="G22" s="7" t="s">
        <v>222</v>
      </c>
      <c r="H22" s="7" t="s">
        <v>91</v>
      </c>
      <c r="I22" s="7" t="str">
        <f t="shared" si="0"/>
        <v>Ya</v>
      </c>
      <c r="J22" s="7" t="str">
        <f t="shared" si="1"/>
        <v>Tidak</v>
      </c>
      <c r="K22" s="7" t="str">
        <f t="shared" si="2"/>
        <v>Tidak</v>
      </c>
      <c r="L22" s="7" t="str">
        <f t="shared" si="3"/>
        <v>Tidak</v>
      </c>
      <c r="M22" s="7" t="str">
        <f t="shared" si="4"/>
        <v>Tidak</v>
      </c>
      <c r="N22" s="7" t="str">
        <f t="shared" si="5"/>
        <v>Tidak</v>
      </c>
      <c r="O22" s="7" t="str">
        <f t="shared" si="6"/>
        <v>Tidak</v>
      </c>
      <c r="P22" s="7" t="str">
        <f t="shared" si="7"/>
        <v>Tidak</v>
      </c>
      <c r="Q22" s="7" t="str">
        <f t="shared" si="8"/>
        <v>Tidak</v>
      </c>
      <c r="R22" s="7" t="str">
        <f t="shared" si="9"/>
        <v>Tidak</v>
      </c>
      <c r="S22" s="7" t="str">
        <f t="shared" si="10"/>
        <v>Tidak</v>
      </c>
      <c r="T22" s="7" t="str">
        <f t="shared" si="11"/>
        <v>Tidak</v>
      </c>
      <c r="U22" s="7" t="str">
        <f t="shared" si="12"/>
        <v>Tidak</v>
      </c>
      <c r="V22" s="7" t="str">
        <f t="shared" si="13"/>
        <v>Tidak</v>
      </c>
      <c r="W22" s="7" t="str">
        <f t="shared" si="14"/>
        <v>Tidak</v>
      </c>
      <c r="X22" s="7" t="str">
        <f t="shared" si="15"/>
        <v>Tidak</v>
      </c>
      <c r="Y22" s="8">
        <v>44613</v>
      </c>
      <c r="Z22" s="7" t="s">
        <v>184</v>
      </c>
      <c r="AA22" s="7">
        <f t="shared" si="16"/>
        <v>3</v>
      </c>
      <c r="AB22" s="7" t="str">
        <f t="shared" si="17"/>
        <v>Besar</v>
      </c>
      <c r="AC22" s="7" t="str">
        <f t="shared" si="18"/>
        <v>Tidak</v>
      </c>
      <c r="AD22" s="7" t="s">
        <v>244</v>
      </c>
      <c r="AE22" s="7" t="s">
        <v>57</v>
      </c>
      <c r="AF22" s="7" t="str">
        <f t="shared" si="19"/>
        <v>Maksektomi</v>
      </c>
      <c r="AG22" s="8">
        <v>44616</v>
      </c>
      <c r="AH22" s="7" t="s">
        <v>32</v>
      </c>
      <c r="AI22" s="8">
        <v>44673</v>
      </c>
      <c r="AJ22" s="7" t="s">
        <v>245</v>
      </c>
      <c r="AK22" s="7" t="s">
        <v>72</v>
      </c>
      <c r="AL22" s="8">
        <v>44784</v>
      </c>
      <c r="AM22" s="7" t="s">
        <v>246</v>
      </c>
      <c r="AN22" s="8">
        <v>44882</v>
      </c>
      <c r="AO22" s="7" t="s">
        <v>247</v>
      </c>
      <c r="AP22" s="7">
        <v>30</v>
      </c>
      <c r="AQ22" s="8">
        <v>44923</v>
      </c>
      <c r="AR22" s="13" t="s">
        <v>248</v>
      </c>
      <c r="AS22" s="7" t="s">
        <v>249</v>
      </c>
      <c r="AT22" s="7" t="str">
        <f t="shared" si="20"/>
        <v>Tidak ada</v>
      </c>
      <c r="AU22" s="7" t="s">
        <v>250</v>
      </c>
      <c r="AV22" s="7" t="str">
        <f t="shared" si="21"/>
        <v>Tidak ada</v>
      </c>
      <c r="AW22" s="7" t="str">
        <f t="shared" si="22"/>
        <v>Efektif</v>
      </c>
      <c r="AX22" s="7" t="s">
        <v>219</v>
      </c>
    </row>
    <row r="23" spans="1:50" x14ac:dyDescent="0.35">
      <c r="A23" s="7">
        <v>22</v>
      </c>
      <c r="B23" s="7">
        <v>1999923</v>
      </c>
      <c r="C23" s="7" t="s">
        <v>251</v>
      </c>
      <c r="D23" s="21">
        <v>53</v>
      </c>
      <c r="E23" s="7" t="s">
        <v>252</v>
      </c>
      <c r="F23" s="7">
        <v>1.68</v>
      </c>
      <c r="G23" s="7" t="s">
        <v>222</v>
      </c>
      <c r="H23" s="7" t="s">
        <v>253</v>
      </c>
      <c r="I23" s="7" t="str">
        <f t="shared" si="0"/>
        <v>Tidak</v>
      </c>
      <c r="J23" s="7" t="str">
        <f t="shared" si="1"/>
        <v>Tidak</v>
      </c>
      <c r="K23" s="7" t="str">
        <f t="shared" si="2"/>
        <v>Tidak</v>
      </c>
      <c r="L23" s="7" t="str">
        <f t="shared" si="3"/>
        <v>Ya</v>
      </c>
      <c r="M23" s="7" t="str">
        <f t="shared" si="4"/>
        <v>Tidak</v>
      </c>
      <c r="N23" s="7" t="str">
        <f t="shared" si="5"/>
        <v>Tidak</v>
      </c>
      <c r="O23" s="7" t="str">
        <f t="shared" si="6"/>
        <v>Tidak</v>
      </c>
      <c r="P23" s="7" t="str">
        <f t="shared" si="7"/>
        <v>Tidak</v>
      </c>
      <c r="Q23" s="7" t="str">
        <f t="shared" si="8"/>
        <v>Tidak</v>
      </c>
      <c r="R23" s="7" t="str">
        <f t="shared" si="9"/>
        <v>Tidak</v>
      </c>
      <c r="S23" s="7" t="str">
        <f t="shared" si="10"/>
        <v>Tidak</v>
      </c>
      <c r="T23" s="7" t="str">
        <f t="shared" si="11"/>
        <v>Tidak</v>
      </c>
      <c r="U23" s="7" t="str">
        <f t="shared" si="12"/>
        <v>Tidak</v>
      </c>
      <c r="V23" s="7" t="str">
        <f t="shared" si="13"/>
        <v>Tidak</v>
      </c>
      <c r="W23" s="7" t="str">
        <f t="shared" si="14"/>
        <v>Tidak</v>
      </c>
      <c r="X23" s="7" t="str">
        <f t="shared" si="15"/>
        <v>Tidak</v>
      </c>
      <c r="Y23" s="8">
        <v>44578</v>
      </c>
      <c r="Z23" s="7" t="s">
        <v>184</v>
      </c>
      <c r="AA23" s="7">
        <f t="shared" si="16"/>
        <v>3</v>
      </c>
      <c r="AB23" s="7" t="str">
        <f t="shared" si="17"/>
        <v>Besar</v>
      </c>
      <c r="AC23" s="7" t="str">
        <f t="shared" si="18"/>
        <v>Tidak</v>
      </c>
      <c r="AD23" s="2" t="s">
        <v>254</v>
      </c>
      <c r="AE23" s="7" t="s">
        <v>94</v>
      </c>
      <c r="AF23" s="7" t="str">
        <f t="shared" si="19"/>
        <v>Maksektomi</v>
      </c>
      <c r="AG23" s="8">
        <v>44580</v>
      </c>
      <c r="AH23" s="7" t="s">
        <v>32</v>
      </c>
      <c r="AI23" s="8">
        <v>44711</v>
      </c>
      <c r="AJ23" s="7" t="s">
        <v>255</v>
      </c>
      <c r="AK23" s="7" t="s">
        <v>72</v>
      </c>
      <c r="AL23" s="8">
        <v>44798</v>
      </c>
      <c r="AM23" s="7" t="s">
        <v>256</v>
      </c>
      <c r="AN23" s="8">
        <v>44914</v>
      </c>
      <c r="AO23" s="7" t="s">
        <v>257</v>
      </c>
      <c r="AP23" s="7">
        <v>25</v>
      </c>
      <c r="AQ23" s="8">
        <v>44956</v>
      </c>
      <c r="AR23" s="7" t="s">
        <v>258</v>
      </c>
      <c r="AS23" s="7" t="s">
        <v>259</v>
      </c>
      <c r="AT23" s="7" t="str">
        <f t="shared" si="20"/>
        <v>Tidak ada</v>
      </c>
      <c r="AU23" s="7" t="s">
        <v>260</v>
      </c>
      <c r="AV23" s="7" t="str">
        <f t="shared" si="21"/>
        <v>Tidak ada</v>
      </c>
      <c r="AW23" s="7" t="str">
        <f t="shared" si="22"/>
        <v>Efektif</v>
      </c>
      <c r="AX23" s="7" t="s">
        <v>219</v>
      </c>
    </row>
    <row r="24" spans="1:50" x14ac:dyDescent="0.35">
      <c r="A24" s="7">
        <v>23</v>
      </c>
      <c r="B24" s="7">
        <v>2003881</v>
      </c>
      <c r="C24" s="7" t="s">
        <v>261</v>
      </c>
      <c r="D24" s="21">
        <v>73</v>
      </c>
      <c r="E24" s="7" t="s">
        <v>262</v>
      </c>
      <c r="F24" s="7">
        <v>1.69</v>
      </c>
      <c r="G24" s="7" t="s">
        <v>222</v>
      </c>
      <c r="H24" s="7"/>
      <c r="I24" s="7" t="str">
        <f t="shared" si="0"/>
        <v>Tidak</v>
      </c>
      <c r="J24" s="7" t="str">
        <f t="shared" si="1"/>
        <v>Tidak</v>
      </c>
      <c r="K24" s="7" t="str">
        <f t="shared" si="2"/>
        <v>Tidak</v>
      </c>
      <c r="L24" s="7" t="str">
        <f t="shared" si="3"/>
        <v>Tidak</v>
      </c>
      <c r="M24" s="7" t="str">
        <f t="shared" si="4"/>
        <v>Tidak</v>
      </c>
      <c r="N24" s="7" t="str">
        <f t="shared" si="5"/>
        <v>Tidak</v>
      </c>
      <c r="O24" s="7" t="str">
        <f t="shared" si="6"/>
        <v>Tidak</v>
      </c>
      <c r="P24" s="7" t="str">
        <f t="shared" si="7"/>
        <v>Tidak</v>
      </c>
      <c r="Q24" s="7" t="str">
        <f t="shared" si="8"/>
        <v>Tidak</v>
      </c>
      <c r="R24" s="7" t="str">
        <f t="shared" si="9"/>
        <v>Tidak</v>
      </c>
      <c r="S24" s="7" t="str">
        <f t="shared" si="10"/>
        <v>Tidak</v>
      </c>
      <c r="T24" s="7" t="str">
        <f t="shared" si="11"/>
        <v>Tidak</v>
      </c>
      <c r="U24" s="7" t="str">
        <f t="shared" si="12"/>
        <v>Tidak</v>
      </c>
      <c r="V24" s="7" t="str">
        <f t="shared" si="13"/>
        <v>Tidak</v>
      </c>
      <c r="W24" s="7" t="str">
        <f t="shared" si="14"/>
        <v>Tidak</v>
      </c>
      <c r="X24" s="7" t="str">
        <f t="shared" si="15"/>
        <v>Tidak</v>
      </c>
      <c r="Y24" s="8">
        <v>44627</v>
      </c>
      <c r="Z24" s="7" t="s">
        <v>184</v>
      </c>
      <c r="AA24" s="7">
        <f t="shared" si="16"/>
        <v>3</v>
      </c>
      <c r="AB24" s="7" t="str">
        <f t="shared" si="17"/>
        <v>Besar</v>
      </c>
      <c r="AC24" s="7" t="str">
        <f t="shared" si="18"/>
        <v>Tidak</v>
      </c>
      <c r="AD24" s="7" t="s">
        <v>263</v>
      </c>
      <c r="AE24" s="7" t="s">
        <v>94</v>
      </c>
      <c r="AF24" s="7" t="str">
        <f t="shared" si="19"/>
        <v>Maksektomi</v>
      </c>
      <c r="AG24" s="8">
        <v>44668</v>
      </c>
      <c r="AH24" s="7" t="s">
        <v>32</v>
      </c>
      <c r="AI24" s="8">
        <v>44725</v>
      </c>
      <c r="AJ24" s="7" t="s">
        <v>264</v>
      </c>
      <c r="AK24" s="7" t="s">
        <v>34</v>
      </c>
      <c r="AL24" s="8">
        <v>44830</v>
      </c>
      <c r="AM24" s="7" t="s">
        <v>169</v>
      </c>
      <c r="AN24" s="8">
        <v>44915</v>
      </c>
      <c r="AO24" s="7" t="s">
        <v>265</v>
      </c>
      <c r="AP24" s="7">
        <v>30</v>
      </c>
      <c r="AQ24" s="8">
        <v>44959</v>
      </c>
      <c r="AR24" s="7" t="s">
        <v>266</v>
      </c>
      <c r="AS24" s="7" t="s">
        <v>267</v>
      </c>
      <c r="AT24" s="7" t="str">
        <f t="shared" si="20"/>
        <v>Tidak ada</v>
      </c>
      <c r="AU24" s="7" t="s">
        <v>268</v>
      </c>
      <c r="AV24" s="7" t="str">
        <f t="shared" si="21"/>
        <v>Tidak ada</v>
      </c>
      <c r="AW24" s="7" t="str">
        <f t="shared" si="22"/>
        <v>Efektif</v>
      </c>
      <c r="AX24" s="7" t="s">
        <v>269</v>
      </c>
    </row>
    <row r="25" spans="1:50" x14ac:dyDescent="0.35">
      <c r="A25" s="7">
        <v>24</v>
      </c>
      <c r="B25" s="7">
        <v>2018417</v>
      </c>
      <c r="C25" s="7" t="s">
        <v>270</v>
      </c>
      <c r="D25" s="21">
        <v>44</v>
      </c>
      <c r="E25" s="7" t="s">
        <v>271</v>
      </c>
      <c r="F25" s="7">
        <v>1.54</v>
      </c>
      <c r="G25" s="7" t="s">
        <v>272</v>
      </c>
      <c r="H25" s="7"/>
      <c r="I25" s="7" t="str">
        <f t="shared" si="0"/>
        <v>Tidak</v>
      </c>
      <c r="J25" s="7" t="str">
        <f t="shared" si="1"/>
        <v>Tidak</v>
      </c>
      <c r="K25" s="7" t="str">
        <f t="shared" si="2"/>
        <v>Tidak</v>
      </c>
      <c r="L25" s="7" t="str">
        <f t="shared" si="3"/>
        <v>Tidak</v>
      </c>
      <c r="M25" s="7" t="str">
        <f t="shared" si="4"/>
        <v>Tidak</v>
      </c>
      <c r="N25" s="7" t="str">
        <f t="shared" si="5"/>
        <v>Tidak</v>
      </c>
      <c r="O25" s="7" t="str">
        <f t="shared" si="6"/>
        <v>Tidak</v>
      </c>
      <c r="P25" s="7" t="str">
        <f t="shared" si="7"/>
        <v>Tidak</v>
      </c>
      <c r="Q25" s="7" t="str">
        <f t="shared" si="8"/>
        <v>Tidak</v>
      </c>
      <c r="R25" s="7" t="str">
        <f t="shared" si="9"/>
        <v>Tidak</v>
      </c>
      <c r="S25" s="7" t="str">
        <f t="shared" si="10"/>
        <v>Tidak</v>
      </c>
      <c r="T25" s="7" t="str">
        <f t="shared" si="11"/>
        <v>Tidak</v>
      </c>
      <c r="U25" s="7" t="str">
        <f t="shared" si="12"/>
        <v>Tidak</v>
      </c>
      <c r="V25" s="7" t="str">
        <f t="shared" si="13"/>
        <v>Tidak</v>
      </c>
      <c r="W25" s="7" t="str">
        <f t="shared" si="14"/>
        <v>Tidak</v>
      </c>
      <c r="X25" s="7" t="str">
        <f t="shared" si="15"/>
        <v>Tidak</v>
      </c>
      <c r="Y25" s="8">
        <v>44754</v>
      </c>
      <c r="Z25" s="7" t="s">
        <v>184</v>
      </c>
      <c r="AA25" s="7">
        <f t="shared" si="16"/>
        <v>3</v>
      </c>
      <c r="AB25" s="7" t="str">
        <f t="shared" si="17"/>
        <v>Besar</v>
      </c>
      <c r="AC25" s="7" t="str">
        <f t="shared" si="18"/>
        <v>Tidak</v>
      </c>
      <c r="AD25" s="7" t="s">
        <v>273</v>
      </c>
      <c r="AE25" s="7" t="s">
        <v>31</v>
      </c>
      <c r="AF25" s="7" t="str">
        <f t="shared" si="19"/>
        <v>Maksektomi</v>
      </c>
      <c r="AG25" s="8">
        <v>44761</v>
      </c>
      <c r="AH25" s="7" t="s">
        <v>227</v>
      </c>
      <c r="AI25" s="8">
        <v>44805</v>
      </c>
      <c r="AJ25" s="7" t="s">
        <v>274</v>
      </c>
      <c r="AK25" s="7" t="s">
        <v>72</v>
      </c>
      <c r="AL25" s="8">
        <v>44910</v>
      </c>
      <c r="AM25" s="7" t="s">
        <v>169</v>
      </c>
      <c r="AN25" s="8">
        <v>44938</v>
      </c>
      <c r="AO25" s="7" t="s">
        <v>257</v>
      </c>
      <c r="AP25" s="7">
        <v>25</v>
      </c>
      <c r="AQ25" s="8">
        <v>44973</v>
      </c>
      <c r="AR25" s="7" t="s">
        <v>275</v>
      </c>
      <c r="AS25" s="7" t="s">
        <v>921</v>
      </c>
      <c r="AT25" s="7" t="str">
        <f t="shared" si="20"/>
        <v>Tidak ada</v>
      </c>
      <c r="AU25" s="7" t="s">
        <v>276</v>
      </c>
      <c r="AV25" s="7" t="str">
        <f t="shared" si="21"/>
        <v>Tidak ada</v>
      </c>
      <c r="AW25" s="7" t="str">
        <f t="shared" si="22"/>
        <v>Efektif</v>
      </c>
      <c r="AX25" s="7"/>
    </row>
    <row r="26" spans="1:50" x14ac:dyDescent="0.35">
      <c r="A26" s="7">
        <v>25</v>
      </c>
      <c r="B26" s="7">
        <v>688313</v>
      </c>
      <c r="C26" s="7" t="s">
        <v>277</v>
      </c>
      <c r="D26" s="21">
        <v>51</v>
      </c>
      <c r="E26" s="7" t="s">
        <v>278</v>
      </c>
      <c r="F26" s="7">
        <v>1.62</v>
      </c>
      <c r="G26" s="7" t="s">
        <v>279</v>
      </c>
      <c r="H26" s="7"/>
      <c r="I26" s="7" t="str">
        <f t="shared" si="0"/>
        <v>Tidak</v>
      </c>
      <c r="J26" s="7" t="str">
        <f t="shared" si="1"/>
        <v>Tidak</v>
      </c>
      <c r="K26" s="7" t="str">
        <f t="shared" si="2"/>
        <v>Tidak</v>
      </c>
      <c r="L26" s="7" t="str">
        <f t="shared" si="3"/>
        <v>Tidak</v>
      </c>
      <c r="M26" s="7" t="str">
        <f t="shared" si="4"/>
        <v>Tidak</v>
      </c>
      <c r="N26" s="7" t="str">
        <f t="shared" si="5"/>
        <v>Tidak</v>
      </c>
      <c r="O26" s="7" t="str">
        <f t="shared" si="6"/>
        <v>Tidak</v>
      </c>
      <c r="P26" s="7" t="str">
        <f t="shared" si="7"/>
        <v>Tidak</v>
      </c>
      <c r="Q26" s="7" t="str">
        <f t="shared" si="8"/>
        <v>Tidak</v>
      </c>
      <c r="R26" s="7" t="str">
        <f t="shared" si="9"/>
        <v>Tidak</v>
      </c>
      <c r="S26" s="7" t="str">
        <f t="shared" si="10"/>
        <v>Tidak</v>
      </c>
      <c r="T26" s="7" t="str">
        <f t="shared" si="11"/>
        <v>Tidak</v>
      </c>
      <c r="U26" s="7" t="str">
        <f t="shared" si="12"/>
        <v>Tidak</v>
      </c>
      <c r="V26" s="7" t="str">
        <f t="shared" si="13"/>
        <v>Tidak</v>
      </c>
      <c r="W26" s="7" t="str">
        <f t="shared" si="14"/>
        <v>Tidak</v>
      </c>
      <c r="X26" s="7" t="str">
        <f t="shared" si="15"/>
        <v>Tidak</v>
      </c>
      <c r="Y26" s="8">
        <v>44733</v>
      </c>
      <c r="Z26" s="7" t="s">
        <v>280</v>
      </c>
      <c r="AA26" s="7">
        <f t="shared" si="16"/>
        <v>2</v>
      </c>
      <c r="AB26" s="7" t="str">
        <f t="shared" si="17"/>
        <v>Sedang</v>
      </c>
      <c r="AC26" s="7" t="str">
        <f t="shared" si="18"/>
        <v>Tidak</v>
      </c>
      <c r="AD26" s="7" t="s">
        <v>281</v>
      </c>
      <c r="AE26" s="7" t="s">
        <v>282</v>
      </c>
      <c r="AF26" s="7" t="str">
        <f t="shared" si="19"/>
        <v>Maksektomi</v>
      </c>
      <c r="AG26" s="8">
        <v>44739</v>
      </c>
      <c r="AH26" s="7" t="s">
        <v>227</v>
      </c>
      <c r="AI26" s="8">
        <v>44768</v>
      </c>
      <c r="AJ26" s="7" t="s">
        <v>283</v>
      </c>
      <c r="AK26" s="7" t="s">
        <v>284</v>
      </c>
      <c r="AL26" s="8">
        <v>44921</v>
      </c>
      <c r="AM26" s="7" t="s">
        <v>285</v>
      </c>
      <c r="AN26" s="8">
        <v>44963</v>
      </c>
      <c r="AO26" s="7" t="s">
        <v>257</v>
      </c>
      <c r="AP26" s="7">
        <v>25</v>
      </c>
      <c r="AQ26" s="8">
        <v>44995</v>
      </c>
      <c r="AR26" s="7" t="s">
        <v>286</v>
      </c>
      <c r="AS26" s="7" t="s">
        <v>287</v>
      </c>
      <c r="AT26" s="7" t="str">
        <f t="shared" si="20"/>
        <v>Tidak ada</v>
      </c>
      <c r="AU26" s="7" t="s">
        <v>288</v>
      </c>
      <c r="AV26" s="7" t="str">
        <f t="shared" si="21"/>
        <v>Tidak ada</v>
      </c>
      <c r="AW26" s="7" t="str">
        <f t="shared" si="22"/>
        <v>Efektif</v>
      </c>
      <c r="AX26" s="7" t="s">
        <v>219</v>
      </c>
    </row>
    <row r="27" spans="1:50" x14ac:dyDescent="0.35">
      <c r="A27" s="7">
        <v>26</v>
      </c>
      <c r="B27" s="7">
        <v>2019092</v>
      </c>
      <c r="C27" s="7" t="s">
        <v>289</v>
      </c>
      <c r="D27" s="21">
        <v>65</v>
      </c>
      <c r="E27" s="7" t="s">
        <v>290</v>
      </c>
      <c r="F27" s="7">
        <v>1.6</v>
      </c>
      <c r="G27" s="7" t="s">
        <v>27</v>
      </c>
      <c r="H27" s="7" t="s">
        <v>291</v>
      </c>
      <c r="I27" s="7" t="str">
        <f t="shared" si="0"/>
        <v>Tidak</v>
      </c>
      <c r="J27" s="7" t="str">
        <f t="shared" si="1"/>
        <v>Tidak</v>
      </c>
      <c r="K27" s="7" t="str">
        <f t="shared" si="2"/>
        <v>Tidak</v>
      </c>
      <c r="L27" s="7" t="str">
        <f t="shared" si="3"/>
        <v>Ya</v>
      </c>
      <c r="M27" s="7" t="str">
        <f t="shared" si="4"/>
        <v>Tidak</v>
      </c>
      <c r="N27" s="7" t="str">
        <f t="shared" si="5"/>
        <v>Tidak</v>
      </c>
      <c r="O27" s="7" t="str">
        <f t="shared" si="6"/>
        <v>Tidak</v>
      </c>
      <c r="P27" s="7" t="str">
        <f t="shared" si="7"/>
        <v>Tidak</v>
      </c>
      <c r="Q27" s="7" t="str">
        <f t="shared" si="8"/>
        <v>Tidak</v>
      </c>
      <c r="R27" s="7" t="str">
        <f t="shared" si="9"/>
        <v>Tidak</v>
      </c>
      <c r="S27" s="7" t="str">
        <f t="shared" si="10"/>
        <v>Tidak</v>
      </c>
      <c r="T27" s="7" t="str">
        <f t="shared" si="11"/>
        <v>Tidak</v>
      </c>
      <c r="U27" s="7" t="str">
        <f t="shared" si="12"/>
        <v>Tidak</v>
      </c>
      <c r="V27" s="7" t="str">
        <f t="shared" si="13"/>
        <v>Tidak</v>
      </c>
      <c r="W27" s="7" t="str">
        <f t="shared" si="14"/>
        <v>Tidak</v>
      </c>
      <c r="X27" s="7" t="str">
        <f t="shared" si="15"/>
        <v>Tidak</v>
      </c>
      <c r="Y27" s="8">
        <v>44733</v>
      </c>
      <c r="Z27" s="7" t="s">
        <v>292</v>
      </c>
      <c r="AA27" s="7">
        <f t="shared" si="16"/>
        <v>3</v>
      </c>
      <c r="AB27" s="7" t="str">
        <f t="shared" si="17"/>
        <v>Besar</v>
      </c>
      <c r="AC27" s="7" t="str">
        <f t="shared" si="18"/>
        <v>Ya</v>
      </c>
      <c r="AD27" s="7" t="s">
        <v>293</v>
      </c>
      <c r="AE27" s="7" t="s">
        <v>31</v>
      </c>
      <c r="AF27" s="7" t="str">
        <f t="shared" si="19"/>
        <v>Maksektomi</v>
      </c>
      <c r="AG27" s="8">
        <v>44803</v>
      </c>
      <c r="AH27" s="7" t="s">
        <v>32</v>
      </c>
      <c r="AI27" s="8">
        <v>44803</v>
      </c>
      <c r="AJ27" s="7" t="s">
        <v>294</v>
      </c>
      <c r="AK27" s="7" t="s">
        <v>72</v>
      </c>
      <c r="AL27" s="8">
        <v>44908</v>
      </c>
      <c r="AM27" s="7" t="s">
        <v>285</v>
      </c>
      <c r="AN27" s="8">
        <v>44973</v>
      </c>
      <c r="AO27" s="7" t="s">
        <v>295</v>
      </c>
      <c r="AP27" s="7">
        <v>25</v>
      </c>
      <c r="AQ27" s="8">
        <v>45034</v>
      </c>
      <c r="AR27" s="7" t="s">
        <v>296</v>
      </c>
      <c r="AS27" s="7" t="s">
        <v>297</v>
      </c>
      <c r="AT27" s="7" t="str">
        <f t="shared" si="20"/>
        <v>Tidak ada</v>
      </c>
      <c r="AU27" s="7" t="s">
        <v>298</v>
      </c>
      <c r="AV27" s="7" t="str">
        <f t="shared" si="21"/>
        <v>Tidak ada</v>
      </c>
      <c r="AW27" s="7" t="str">
        <f t="shared" si="22"/>
        <v>Efektif</v>
      </c>
      <c r="AX27" s="7" t="s">
        <v>299</v>
      </c>
    </row>
    <row r="28" spans="1:50" x14ac:dyDescent="0.35">
      <c r="A28" s="7">
        <v>27</v>
      </c>
      <c r="B28" s="7">
        <v>2010455</v>
      </c>
      <c r="C28" s="7" t="s">
        <v>300</v>
      </c>
      <c r="D28" s="21">
        <v>65</v>
      </c>
      <c r="E28" s="7" t="s">
        <v>301</v>
      </c>
      <c r="F28" s="7">
        <v>1.67</v>
      </c>
      <c r="G28" s="7" t="s">
        <v>27</v>
      </c>
      <c r="H28" s="7"/>
      <c r="I28" s="7" t="str">
        <f t="shared" si="0"/>
        <v>Tidak</v>
      </c>
      <c r="J28" s="7" t="str">
        <f t="shared" si="1"/>
        <v>Tidak</v>
      </c>
      <c r="K28" s="7" t="str">
        <f t="shared" si="2"/>
        <v>Tidak</v>
      </c>
      <c r="L28" s="7" t="str">
        <f t="shared" si="3"/>
        <v>Tidak</v>
      </c>
      <c r="M28" s="7" t="str">
        <f t="shared" si="4"/>
        <v>Tidak</v>
      </c>
      <c r="N28" s="7" t="str">
        <f t="shared" si="5"/>
        <v>Tidak</v>
      </c>
      <c r="O28" s="7" t="str">
        <f t="shared" si="6"/>
        <v>Tidak</v>
      </c>
      <c r="P28" s="7" t="str">
        <f t="shared" si="7"/>
        <v>Tidak</v>
      </c>
      <c r="Q28" s="7" t="str">
        <f t="shared" si="8"/>
        <v>Tidak</v>
      </c>
      <c r="R28" s="7" t="str">
        <f t="shared" si="9"/>
        <v>Tidak</v>
      </c>
      <c r="S28" s="7" t="str">
        <f t="shared" si="10"/>
        <v>Tidak</v>
      </c>
      <c r="T28" s="7" t="str">
        <f t="shared" si="11"/>
        <v>Tidak</v>
      </c>
      <c r="U28" s="7" t="str">
        <f t="shared" si="12"/>
        <v>Tidak</v>
      </c>
      <c r="V28" s="7" t="str">
        <f t="shared" si="13"/>
        <v>Tidak</v>
      </c>
      <c r="W28" s="7" t="str">
        <f t="shared" si="14"/>
        <v>Tidak</v>
      </c>
      <c r="X28" s="7" t="str">
        <f t="shared" si="15"/>
        <v>Tidak</v>
      </c>
      <c r="Y28" s="8">
        <v>44686</v>
      </c>
      <c r="Z28" s="7" t="s">
        <v>302</v>
      </c>
      <c r="AA28" s="7">
        <f t="shared" si="16"/>
        <v>3</v>
      </c>
      <c r="AB28" s="7" t="str">
        <f t="shared" si="17"/>
        <v>Menjalar ke kulit/dinding dada</v>
      </c>
      <c r="AC28" s="7" t="str">
        <f t="shared" si="18"/>
        <v>Ya</v>
      </c>
      <c r="AD28" s="7" t="s">
        <v>303</v>
      </c>
      <c r="AE28" s="7" t="s">
        <v>31</v>
      </c>
      <c r="AF28" s="7" t="str">
        <f t="shared" si="19"/>
        <v>Maksektomi</v>
      </c>
      <c r="AG28" s="8">
        <v>44710</v>
      </c>
      <c r="AH28" s="7" t="s">
        <v>32</v>
      </c>
      <c r="AI28" s="8">
        <v>44742</v>
      </c>
      <c r="AJ28" s="7" t="s">
        <v>304</v>
      </c>
      <c r="AK28" s="7" t="s">
        <v>284</v>
      </c>
      <c r="AL28" s="8">
        <v>44894</v>
      </c>
      <c r="AM28" s="7" t="s">
        <v>285</v>
      </c>
      <c r="AN28" s="8">
        <v>44710</v>
      </c>
      <c r="AO28" s="7" t="s">
        <v>295</v>
      </c>
      <c r="AP28" s="7">
        <v>25</v>
      </c>
      <c r="AQ28" s="8">
        <v>45750</v>
      </c>
      <c r="AR28" s="7" t="s">
        <v>305</v>
      </c>
      <c r="AS28" s="7" t="s">
        <v>306</v>
      </c>
      <c r="AT28" s="7" t="str">
        <f t="shared" si="20"/>
        <v>Tidak ada</v>
      </c>
      <c r="AU28" s="7" t="s">
        <v>307</v>
      </c>
      <c r="AV28" s="7" t="str">
        <f t="shared" si="21"/>
        <v>Tidak ada</v>
      </c>
      <c r="AW28" s="7" t="str">
        <f t="shared" si="22"/>
        <v>Efektif</v>
      </c>
      <c r="AX28" s="7" t="s">
        <v>219</v>
      </c>
    </row>
    <row r="29" spans="1:50" x14ac:dyDescent="0.35">
      <c r="A29" s="7">
        <v>28</v>
      </c>
      <c r="B29" s="7">
        <v>2022523</v>
      </c>
      <c r="C29" s="7" t="s">
        <v>154</v>
      </c>
      <c r="D29" s="21">
        <v>43</v>
      </c>
      <c r="E29" s="7" t="s">
        <v>308</v>
      </c>
      <c r="F29" s="7">
        <v>1.52</v>
      </c>
      <c r="G29" s="7" t="s">
        <v>27</v>
      </c>
      <c r="H29" s="7" t="s">
        <v>309</v>
      </c>
      <c r="I29" s="7" t="str">
        <f t="shared" si="0"/>
        <v>Tidak</v>
      </c>
      <c r="J29" s="7" t="str">
        <f t="shared" si="1"/>
        <v>Tidak</v>
      </c>
      <c r="K29" s="7" t="str">
        <f t="shared" si="2"/>
        <v>Tidak</v>
      </c>
      <c r="L29" s="7" t="str">
        <f t="shared" si="3"/>
        <v>Ya</v>
      </c>
      <c r="M29" s="7" t="str">
        <f t="shared" si="4"/>
        <v>Tidak</v>
      </c>
      <c r="N29" s="7" t="str">
        <f t="shared" si="5"/>
        <v>Tidak</v>
      </c>
      <c r="O29" s="7" t="str">
        <f t="shared" si="6"/>
        <v>Tidak</v>
      </c>
      <c r="P29" s="7" t="str">
        <f t="shared" si="7"/>
        <v>Tidak</v>
      </c>
      <c r="Q29" s="7" t="str">
        <f t="shared" si="8"/>
        <v>Tidak</v>
      </c>
      <c r="R29" s="7" t="str">
        <f t="shared" si="9"/>
        <v>Tidak</v>
      </c>
      <c r="S29" s="7" t="str">
        <f t="shared" si="10"/>
        <v>Tidak</v>
      </c>
      <c r="T29" s="7" t="str">
        <f t="shared" si="11"/>
        <v>Tidak</v>
      </c>
      <c r="U29" s="7" t="str">
        <f t="shared" si="12"/>
        <v>Tidak</v>
      </c>
      <c r="V29" s="7" t="str">
        <f t="shared" si="13"/>
        <v>Tidak</v>
      </c>
      <c r="W29" s="7" t="str">
        <f t="shared" si="14"/>
        <v>Tidak</v>
      </c>
      <c r="X29" s="7" t="str">
        <f t="shared" si="15"/>
        <v>Tidak</v>
      </c>
      <c r="Y29" s="8">
        <v>44785</v>
      </c>
      <c r="Z29" s="7" t="s">
        <v>310</v>
      </c>
      <c r="AA29" s="7">
        <f t="shared" si="16"/>
        <v>3</v>
      </c>
      <c r="AB29" s="7" t="str">
        <f t="shared" si="17"/>
        <v>Besar</v>
      </c>
      <c r="AC29" s="7" t="str">
        <f t="shared" si="18"/>
        <v>Tidak</v>
      </c>
      <c r="AD29" s="2" t="s">
        <v>311</v>
      </c>
      <c r="AE29" s="7" t="s">
        <v>31</v>
      </c>
      <c r="AF29" s="7" t="str">
        <f t="shared" si="19"/>
        <v>Maksektomi</v>
      </c>
      <c r="AG29" s="8">
        <v>44790</v>
      </c>
      <c r="AH29" s="7" t="s">
        <v>32</v>
      </c>
      <c r="AI29" s="8">
        <v>44093</v>
      </c>
      <c r="AJ29" s="7" t="s">
        <v>312</v>
      </c>
      <c r="AK29" s="7" t="s">
        <v>72</v>
      </c>
      <c r="AL29" s="8">
        <v>44928</v>
      </c>
      <c r="AM29" s="7" t="s">
        <v>285</v>
      </c>
      <c r="AN29" s="8">
        <v>45006</v>
      </c>
      <c r="AO29" s="7" t="s">
        <v>313</v>
      </c>
      <c r="AP29" s="7">
        <v>30</v>
      </c>
      <c r="AQ29" s="8">
        <v>45063</v>
      </c>
      <c r="AR29" s="7" t="s">
        <v>314</v>
      </c>
      <c r="AS29" s="7" t="s">
        <v>315</v>
      </c>
      <c r="AT29" s="7" t="str">
        <f t="shared" si="20"/>
        <v>Tidak ada</v>
      </c>
      <c r="AU29" s="7" t="s">
        <v>316</v>
      </c>
      <c r="AV29" s="7" t="str">
        <f t="shared" si="21"/>
        <v>Tidak ada</v>
      </c>
      <c r="AW29" s="7" t="str">
        <f t="shared" si="22"/>
        <v>Efektif</v>
      </c>
      <c r="AX29" s="7" t="s">
        <v>121</v>
      </c>
    </row>
    <row r="30" spans="1:50" x14ac:dyDescent="0.35">
      <c r="A30" s="7">
        <v>29</v>
      </c>
      <c r="B30" s="7">
        <v>2021275</v>
      </c>
      <c r="C30" s="7" t="s">
        <v>317</v>
      </c>
      <c r="D30" s="21">
        <v>53</v>
      </c>
      <c r="E30" s="7" t="s">
        <v>318</v>
      </c>
      <c r="F30" s="7">
        <v>1.52</v>
      </c>
      <c r="G30" s="7" t="s">
        <v>27</v>
      </c>
      <c r="H30" s="7"/>
      <c r="I30" s="7" t="str">
        <f t="shared" si="0"/>
        <v>Tidak</v>
      </c>
      <c r="J30" s="7" t="str">
        <f t="shared" si="1"/>
        <v>Tidak</v>
      </c>
      <c r="K30" s="7" t="str">
        <f t="shared" si="2"/>
        <v>Tidak</v>
      </c>
      <c r="L30" s="7" t="str">
        <f t="shared" si="3"/>
        <v>Tidak</v>
      </c>
      <c r="M30" s="7" t="str">
        <f t="shared" si="4"/>
        <v>Tidak</v>
      </c>
      <c r="N30" s="7" t="str">
        <f t="shared" si="5"/>
        <v>Tidak</v>
      </c>
      <c r="O30" s="7" t="str">
        <f t="shared" si="6"/>
        <v>Tidak</v>
      </c>
      <c r="P30" s="7" t="str">
        <f t="shared" si="7"/>
        <v>Tidak</v>
      </c>
      <c r="Q30" s="7" t="str">
        <f t="shared" si="8"/>
        <v>Tidak</v>
      </c>
      <c r="R30" s="7" t="str">
        <f t="shared" si="9"/>
        <v>Tidak</v>
      </c>
      <c r="S30" s="7" t="str">
        <f t="shared" si="10"/>
        <v>Tidak</v>
      </c>
      <c r="T30" s="7" t="str">
        <f t="shared" si="11"/>
        <v>Tidak</v>
      </c>
      <c r="U30" s="7" t="str">
        <f t="shared" si="12"/>
        <v>Tidak</v>
      </c>
      <c r="V30" s="7" t="str">
        <f t="shared" si="13"/>
        <v>Tidak</v>
      </c>
      <c r="W30" s="7" t="str">
        <f t="shared" si="14"/>
        <v>Tidak</v>
      </c>
      <c r="X30" s="7" t="str">
        <f t="shared" si="15"/>
        <v>Tidak</v>
      </c>
      <c r="Y30" s="8">
        <v>44776</v>
      </c>
      <c r="Z30" s="7" t="s">
        <v>319</v>
      </c>
      <c r="AA30" s="7">
        <f t="shared" si="16"/>
        <v>3</v>
      </c>
      <c r="AB30" s="7" t="str">
        <f t="shared" si="17"/>
        <v>Menjalar ke kulit/dinding dada</v>
      </c>
      <c r="AC30" s="7" t="str">
        <f t="shared" si="18"/>
        <v>Ya</v>
      </c>
      <c r="AD30" s="7" t="s">
        <v>320</v>
      </c>
      <c r="AE30" s="7" t="s">
        <v>31</v>
      </c>
      <c r="AF30" s="7" t="str">
        <f t="shared" si="19"/>
        <v>Maksektomi</v>
      </c>
      <c r="AG30" s="11">
        <v>44875</v>
      </c>
      <c r="AH30" s="7" t="s">
        <v>32</v>
      </c>
      <c r="AI30" s="8">
        <v>44866</v>
      </c>
      <c r="AJ30" s="7" t="s">
        <v>321</v>
      </c>
      <c r="AK30" s="7" t="s">
        <v>72</v>
      </c>
      <c r="AL30" s="8">
        <v>44985</v>
      </c>
      <c r="AM30" s="7" t="s">
        <v>285</v>
      </c>
      <c r="AN30" s="8">
        <v>45128</v>
      </c>
      <c r="AO30" s="7" t="s">
        <v>295</v>
      </c>
      <c r="AP30" s="7">
        <v>30</v>
      </c>
      <c r="AQ30" s="8">
        <v>45113</v>
      </c>
      <c r="AR30" s="7" t="s">
        <v>322</v>
      </c>
      <c r="AS30" s="7" t="s">
        <v>323</v>
      </c>
      <c r="AT30" s="7" t="str">
        <f t="shared" si="20"/>
        <v>Tidak ada</v>
      </c>
      <c r="AU30" s="7" t="s">
        <v>324</v>
      </c>
      <c r="AV30" s="7" t="str">
        <f t="shared" si="21"/>
        <v>Tidak ada</v>
      </c>
      <c r="AW30" s="7" t="str">
        <f t="shared" si="22"/>
        <v>Efektif</v>
      </c>
      <c r="AX30" s="7" t="s">
        <v>325</v>
      </c>
    </row>
    <row r="31" spans="1:50" x14ac:dyDescent="0.35">
      <c r="A31" s="7">
        <v>30</v>
      </c>
      <c r="B31" s="7">
        <v>2012235</v>
      </c>
      <c r="C31" s="7" t="s">
        <v>326</v>
      </c>
      <c r="D31" s="21">
        <v>66</v>
      </c>
      <c r="E31" s="7" t="s">
        <v>327</v>
      </c>
      <c r="F31" s="7">
        <v>1.22</v>
      </c>
      <c r="G31" s="7" t="s">
        <v>68</v>
      </c>
      <c r="H31" s="7"/>
      <c r="I31" s="7" t="str">
        <f t="shared" si="0"/>
        <v>Tidak</v>
      </c>
      <c r="J31" s="7" t="str">
        <f t="shared" si="1"/>
        <v>Tidak</v>
      </c>
      <c r="K31" s="7" t="str">
        <f t="shared" si="2"/>
        <v>Tidak</v>
      </c>
      <c r="L31" s="7" t="str">
        <f t="shared" si="3"/>
        <v>Tidak</v>
      </c>
      <c r="M31" s="7" t="str">
        <f t="shared" si="4"/>
        <v>Tidak</v>
      </c>
      <c r="N31" s="7" t="str">
        <f t="shared" si="5"/>
        <v>Tidak</v>
      </c>
      <c r="O31" s="7" t="str">
        <f t="shared" si="6"/>
        <v>Tidak</v>
      </c>
      <c r="P31" s="7" t="str">
        <f t="shared" si="7"/>
        <v>Tidak</v>
      </c>
      <c r="Q31" s="7" t="str">
        <f t="shared" si="8"/>
        <v>Tidak</v>
      </c>
      <c r="R31" s="7" t="str">
        <f t="shared" si="9"/>
        <v>Tidak</v>
      </c>
      <c r="S31" s="7" t="str">
        <f t="shared" si="10"/>
        <v>Tidak</v>
      </c>
      <c r="T31" s="7" t="str">
        <f t="shared" si="11"/>
        <v>Tidak</v>
      </c>
      <c r="U31" s="7" t="str">
        <f t="shared" si="12"/>
        <v>Tidak</v>
      </c>
      <c r="V31" s="7" t="str">
        <f t="shared" si="13"/>
        <v>Tidak</v>
      </c>
      <c r="W31" s="7" t="str">
        <f t="shared" si="14"/>
        <v>Tidak</v>
      </c>
      <c r="X31" s="7" t="str">
        <f t="shared" si="15"/>
        <v>Tidak</v>
      </c>
      <c r="Y31" s="8">
        <v>44704</v>
      </c>
      <c r="Z31" s="7" t="s">
        <v>328</v>
      </c>
      <c r="AA31" s="7">
        <f t="shared" si="16"/>
        <v>3</v>
      </c>
      <c r="AB31" s="7" t="str">
        <f t="shared" si="17"/>
        <v>Besar</v>
      </c>
      <c r="AC31" s="7" t="str">
        <f t="shared" si="18"/>
        <v>Ya</v>
      </c>
      <c r="AD31" s="7" t="s">
        <v>329</v>
      </c>
      <c r="AE31" s="7" t="s">
        <v>57</v>
      </c>
      <c r="AF31" s="7" t="str">
        <f t="shared" si="19"/>
        <v>Maksektomi</v>
      </c>
      <c r="AG31" s="8">
        <v>44866</v>
      </c>
      <c r="AH31" s="7" t="s">
        <v>32</v>
      </c>
      <c r="AI31" s="8">
        <v>44985</v>
      </c>
      <c r="AJ31" s="7" t="s">
        <v>321</v>
      </c>
      <c r="AK31" s="7" t="s">
        <v>284</v>
      </c>
      <c r="AL31" s="8">
        <v>44985</v>
      </c>
      <c r="AM31" s="7" t="s">
        <v>285</v>
      </c>
      <c r="AN31" s="8">
        <v>45077</v>
      </c>
      <c r="AO31" s="7" t="s">
        <v>313</v>
      </c>
      <c r="AP31" s="7">
        <v>30</v>
      </c>
      <c r="AQ31" s="8">
        <v>45127</v>
      </c>
      <c r="AR31" s="7" t="s">
        <v>330</v>
      </c>
      <c r="AS31" s="7" t="s">
        <v>331</v>
      </c>
      <c r="AT31" s="7" t="str">
        <f t="shared" si="20"/>
        <v>Tidak ada</v>
      </c>
      <c r="AU31" s="7" t="s">
        <v>332</v>
      </c>
      <c r="AV31" s="7" t="str">
        <f t="shared" si="21"/>
        <v>Tidak ada</v>
      </c>
      <c r="AW31" s="7" t="str">
        <f t="shared" si="22"/>
        <v>Efektif</v>
      </c>
      <c r="AX31" s="7" t="s">
        <v>333</v>
      </c>
    </row>
    <row r="32" spans="1:50" x14ac:dyDescent="0.35">
      <c r="A32" s="7">
        <v>31</v>
      </c>
      <c r="B32" s="7">
        <v>2026734</v>
      </c>
      <c r="C32" s="7" t="s">
        <v>334</v>
      </c>
      <c r="D32" s="21">
        <v>48</v>
      </c>
      <c r="E32" s="7" t="s">
        <v>335</v>
      </c>
      <c r="F32" s="7">
        <v>1.71</v>
      </c>
      <c r="G32" s="7" t="s">
        <v>27</v>
      </c>
      <c r="H32" s="7"/>
      <c r="I32" s="7" t="str">
        <f t="shared" si="0"/>
        <v>Tidak</v>
      </c>
      <c r="J32" s="7" t="str">
        <f t="shared" si="1"/>
        <v>Tidak</v>
      </c>
      <c r="K32" s="7" t="str">
        <f t="shared" si="2"/>
        <v>Tidak</v>
      </c>
      <c r="L32" s="7" t="str">
        <f t="shared" si="3"/>
        <v>Tidak</v>
      </c>
      <c r="M32" s="7" t="str">
        <f t="shared" si="4"/>
        <v>Tidak</v>
      </c>
      <c r="N32" s="7" t="str">
        <f t="shared" si="5"/>
        <v>Tidak</v>
      </c>
      <c r="O32" s="7" t="str">
        <f t="shared" si="6"/>
        <v>Tidak</v>
      </c>
      <c r="P32" s="7" t="str">
        <f t="shared" si="7"/>
        <v>Tidak</v>
      </c>
      <c r="Q32" s="7" t="str">
        <f t="shared" si="8"/>
        <v>Tidak</v>
      </c>
      <c r="R32" s="7" t="str">
        <f t="shared" si="9"/>
        <v>Tidak</v>
      </c>
      <c r="S32" s="7" t="str">
        <f t="shared" si="10"/>
        <v>Tidak</v>
      </c>
      <c r="T32" s="7" t="str">
        <f t="shared" si="11"/>
        <v>Tidak</v>
      </c>
      <c r="U32" s="7" t="str">
        <f t="shared" si="12"/>
        <v>Tidak</v>
      </c>
      <c r="V32" s="7" t="str">
        <f t="shared" si="13"/>
        <v>Tidak</v>
      </c>
      <c r="W32" s="7" t="str">
        <f t="shared" si="14"/>
        <v>Tidak</v>
      </c>
      <c r="X32" s="7" t="str">
        <f t="shared" si="15"/>
        <v>Tidak</v>
      </c>
      <c r="Y32" s="8">
        <v>44819</v>
      </c>
      <c r="Z32" s="7" t="s">
        <v>336</v>
      </c>
      <c r="AA32" s="7">
        <f t="shared" si="16"/>
        <v>2</v>
      </c>
      <c r="AB32" s="7" t="str">
        <f t="shared" si="17"/>
        <v>Kecil</v>
      </c>
      <c r="AC32" s="7" t="str">
        <f t="shared" si="18"/>
        <v>Ya</v>
      </c>
      <c r="AD32" s="7" t="s">
        <v>337</v>
      </c>
      <c r="AE32" s="7" t="s">
        <v>31</v>
      </c>
      <c r="AF32" s="7" t="str">
        <f t="shared" si="19"/>
        <v>Maksektomi</v>
      </c>
      <c r="AG32" s="8">
        <v>44824</v>
      </c>
      <c r="AH32" s="7" t="s">
        <v>32</v>
      </c>
      <c r="AI32" s="8">
        <v>44866</v>
      </c>
      <c r="AJ32" s="7" t="s">
        <v>338</v>
      </c>
      <c r="AK32" s="7" t="s">
        <v>284</v>
      </c>
      <c r="AL32" s="8">
        <v>45002</v>
      </c>
      <c r="AM32" s="7" t="s">
        <v>339</v>
      </c>
      <c r="AN32" s="8">
        <v>45097</v>
      </c>
      <c r="AO32" s="7" t="s">
        <v>313</v>
      </c>
      <c r="AP32" s="7">
        <v>30</v>
      </c>
      <c r="AQ32" s="8">
        <v>45145</v>
      </c>
      <c r="AR32" s="7" t="s">
        <v>340</v>
      </c>
      <c r="AS32" s="7" t="s">
        <v>341</v>
      </c>
      <c r="AT32" s="7" t="str">
        <f t="shared" si="20"/>
        <v>Tidak ada</v>
      </c>
      <c r="AU32" s="7" t="s">
        <v>342</v>
      </c>
      <c r="AV32" s="7" t="str">
        <f t="shared" si="21"/>
        <v>Tidak ada</v>
      </c>
      <c r="AW32" s="7" t="str">
        <f t="shared" si="22"/>
        <v>Efektif</v>
      </c>
      <c r="AX32" s="7" t="s">
        <v>343</v>
      </c>
    </row>
    <row r="33" spans="1:50" x14ac:dyDescent="0.35">
      <c r="A33" s="7">
        <v>32</v>
      </c>
      <c r="B33" s="7">
        <v>1999396</v>
      </c>
      <c r="C33" s="7" t="s">
        <v>344</v>
      </c>
      <c r="D33" s="21">
        <v>63</v>
      </c>
      <c r="E33" s="7" t="s">
        <v>345</v>
      </c>
      <c r="F33" s="7">
        <v>1.49</v>
      </c>
      <c r="G33" s="2" t="s">
        <v>68</v>
      </c>
      <c r="H33" s="7"/>
      <c r="I33" s="7" t="str">
        <f t="shared" si="0"/>
        <v>Tidak</v>
      </c>
      <c r="J33" s="7" t="str">
        <f t="shared" si="1"/>
        <v>Tidak</v>
      </c>
      <c r="K33" s="7" t="str">
        <f t="shared" si="2"/>
        <v>Tidak</v>
      </c>
      <c r="L33" s="7" t="str">
        <f t="shared" si="3"/>
        <v>Tidak</v>
      </c>
      <c r="M33" s="7" t="str">
        <f t="shared" si="4"/>
        <v>Tidak</v>
      </c>
      <c r="N33" s="7" t="str">
        <f t="shared" si="5"/>
        <v>Tidak</v>
      </c>
      <c r="O33" s="7" t="str">
        <f t="shared" si="6"/>
        <v>Tidak</v>
      </c>
      <c r="P33" s="7" t="str">
        <f t="shared" si="7"/>
        <v>Tidak</v>
      </c>
      <c r="Q33" s="7" t="str">
        <f t="shared" si="8"/>
        <v>Tidak</v>
      </c>
      <c r="R33" s="7" t="str">
        <f t="shared" si="9"/>
        <v>Tidak</v>
      </c>
      <c r="S33" s="7" t="str">
        <f t="shared" si="10"/>
        <v>Tidak</v>
      </c>
      <c r="T33" s="7" t="str">
        <f t="shared" si="11"/>
        <v>Tidak</v>
      </c>
      <c r="U33" s="7" t="str">
        <f t="shared" si="12"/>
        <v>Tidak</v>
      </c>
      <c r="V33" s="7" t="str">
        <f t="shared" si="13"/>
        <v>Tidak</v>
      </c>
      <c r="W33" s="7" t="str">
        <f t="shared" si="14"/>
        <v>Tidak</v>
      </c>
      <c r="X33" s="7" t="str">
        <f t="shared" si="15"/>
        <v>Tidak</v>
      </c>
      <c r="Y33" s="8">
        <v>44571</v>
      </c>
      <c r="Z33" s="7" t="s">
        <v>346</v>
      </c>
      <c r="AA33" s="7">
        <f t="shared" si="16"/>
        <v>1</v>
      </c>
      <c r="AB33" s="7" t="str">
        <f t="shared" si="17"/>
        <v>Kecil</v>
      </c>
      <c r="AC33" s="7" t="str">
        <f t="shared" si="18"/>
        <v>Tidak diketahui</v>
      </c>
      <c r="AD33" s="7" t="s">
        <v>347</v>
      </c>
      <c r="AE33" s="7" t="s">
        <v>226</v>
      </c>
      <c r="AF33" s="7" t="str">
        <f t="shared" si="19"/>
        <v>Maksektomi</v>
      </c>
      <c r="AG33" s="7" t="s">
        <v>348</v>
      </c>
      <c r="AH33" s="7" t="s">
        <v>32</v>
      </c>
      <c r="AI33" s="7" t="s">
        <v>349</v>
      </c>
      <c r="AJ33" s="7" t="s">
        <v>350</v>
      </c>
      <c r="AK33" s="7" t="s">
        <v>284</v>
      </c>
      <c r="AL33" s="7" t="s">
        <v>351</v>
      </c>
      <c r="AM33" s="7" t="s">
        <v>352</v>
      </c>
      <c r="AN33" s="8">
        <v>45077</v>
      </c>
      <c r="AO33" s="7" t="s">
        <v>353</v>
      </c>
      <c r="AP33" s="7">
        <v>30</v>
      </c>
      <c r="AQ33" s="8">
        <v>45127</v>
      </c>
      <c r="AR33" s="7" t="s">
        <v>330</v>
      </c>
      <c r="AS33" s="7" t="s">
        <v>354</v>
      </c>
      <c r="AT33" s="7" t="str">
        <f t="shared" si="20"/>
        <v>Tidak ada</v>
      </c>
      <c r="AU33" s="7" t="s">
        <v>355</v>
      </c>
      <c r="AV33" s="7" t="str">
        <f t="shared" si="21"/>
        <v>Tidak ada</v>
      </c>
      <c r="AW33" s="7" t="str">
        <f t="shared" si="22"/>
        <v>Efektif</v>
      </c>
      <c r="AX33" s="7" t="s">
        <v>356</v>
      </c>
    </row>
    <row r="34" spans="1:50" x14ac:dyDescent="0.35">
      <c r="A34" s="7">
        <v>33</v>
      </c>
      <c r="B34" s="7">
        <v>2023254</v>
      </c>
      <c r="C34" s="7" t="s">
        <v>357</v>
      </c>
      <c r="D34" s="21">
        <v>48</v>
      </c>
      <c r="E34" s="7" t="s">
        <v>358</v>
      </c>
      <c r="F34" s="7">
        <v>2.4500000000000002</v>
      </c>
      <c r="G34" s="2" t="s">
        <v>68</v>
      </c>
      <c r="H34" s="7" t="s">
        <v>359</v>
      </c>
      <c r="I34" s="7" t="str">
        <f t="shared" si="0"/>
        <v>Tidak</v>
      </c>
      <c r="J34" s="7" t="str">
        <f t="shared" si="1"/>
        <v>Tidak</v>
      </c>
      <c r="K34" s="7" t="str">
        <f t="shared" si="2"/>
        <v>Tidak</v>
      </c>
      <c r="L34" s="7" t="str">
        <f t="shared" si="3"/>
        <v>Tidak</v>
      </c>
      <c r="M34" s="7" t="str">
        <f t="shared" si="4"/>
        <v>Tidak</v>
      </c>
      <c r="N34" s="7" t="str">
        <f t="shared" si="5"/>
        <v>Tidak</v>
      </c>
      <c r="O34" s="7" t="str">
        <f t="shared" si="6"/>
        <v>Tidak</v>
      </c>
      <c r="P34" s="7" t="str">
        <f t="shared" si="7"/>
        <v>Tidak</v>
      </c>
      <c r="Q34" s="7" t="str">
        <f t="shared" si="8"/>
        <v>Tidak</v>
      </c>
      <c r="R34" s="7" t="str">
        <f t="shared" si="9"/>
        <v>Tidak</v>
      </c>
      <c r="S34" s="7" t="str">
        <f t="shared" si="10"/>
        <v>Tidak</v>
      </c>
      <c r="T34" s="7" t="str">
        <f t="shared" si="11"/>
        <v>Tidak</v>
      </c>
      <c r="U34" s="7" t="str">
        <f t="shared" si="12"/>
        <v>Ya</v>
      </c>
      <c r="V34" s="7" t="str">
        <f t="shared" si="13"/>
        <v>Tidak</v>
      </c>
      <c r="W34" s="7" t="str">
        <f t="shared" si="14"/>
        <v>Tidak</v>
      </c>
      <c r="X34" s="7" t="str">
        <f t="shared" si="15"/>
        <v>Tidak</v>
      </c>
      <c r="Y34" s="8">
        <v>44792</v>
      </c>
      <c r="Z34" s="7" t="s">
        <v>360</v>
      </c>
      <c r="AA34" s="7">
        <f t="shared" si="16"/>
        <v>2</v>
      </c>
      <c r="AB34" s="7" t="str">
        <f t="shared" si="17"/>
        <v>Sedang</v>
      </c>
      <c r="AC34" s="7" t="str">
        <f t="shared" si="18"/>
        <v>Ya</v>
      </c>
      <c r="AD34" s="7" t="s">
        <v>361</v>
      </c>
      <c r="AE34" s="7" t="s">
        <v>226</v>
      </c>
      <c r="AF34" s="7" t="str">
        <f t="shared" si="19"/>
        <v>Maksektomi</v>
      </c>
      <c r="AG34" s="8">
        <v>44813</v>
      </c>
      <c r="AH34" s="7" t="s">
        <v>32</v>
      </c>
      <c r="AI34" s="8">
        <v>44848</v>
      </c>
      <c r="AJ34" s="7" t="s">
        <v>362</v>
      </c>
      <c r="AK34" s="7" t="s">
        <v>284</v>
      </c>
      <c r="AL34" s="8">
        <v>45005</v>
      </c>
      <c r="AM34" s="7" t="s">
        <v>363</v>
      </c>
      <c r="AN34" s="8">
        <v>45104</v>
      </c>
      <c r="AO34" s="7" t="s">
        <v>364</v>
      </c>
      <c r="AP34" s="7">
        <v>25</v>
      </c>
      <c r="AQ34" s="8">
        <v>45145</v>
      </c>
      <c r="AR34" s="7" t="s">
        <v>365</v>
      </c>
      <c r="AS34" s="7" t="s">
        <v>366</v>
      </c>
      <c r="AT34" s="7" t="str">
        <f t="shared" si="20"/>
        <v>Tidak ada</v>
      </c>
      <c r="AU34" s="7" t="s">
        <v>367</v>
      </c>
      <c r="AV34" s="7" t="str">
        <f t="shared" si="21"/>
        <v>Tidak ada</v>
      </c>
      <c r="AW34" s="7" t="str">
        <f t="shared" si="22"/>
        <v>Efektif</v>
      </c>
      <c r="AX34" s="7" t="s">
        <v>368</v>
      </c>
    </row>
    <row r="35" spans="1:50" x14ac:dyDescent="0.35">
      <c r="A35" s="7">
        <v>34</v>
      </c>
      <c r="B35" s="7">
        <v>2033414</v>
      </c>
      <c r="C35" s="7" t="s">
        <v>369</v>
      </c>
      <c r="D35" s="21">
        <v>54</v>
      </c>
      <c r="E35" s="7" t="s">
        <v>370</v>
      </c>
      <c r="F35" s="7">
        <v>2.91</v>
      </c>
      <c r="G35" s="7" t="s">
        <v>68</v>
      </c>
      <c r="H35" s="7" t="s">
        <v>91</v>
      </c>
      <c r="I35" s="7" t="str">
        <f t="shared" si="0"/>
        <v>Ya</v>
      </c>
      <c r="J35" s="7" t="str">
        <f t="shared" si="1"/>
        <v>Tidak</v>
      </c>
      <c r="K35" s="7" t="str">
        <f t="shared" si="2"/>
        <v>Tidak</v>
      </c>
      <c r="L35" s="7" t="str">
        <f t="shared" si="3"/>
        <v>Tidak</v>
      </c>
      <c r="M35" s="7" t="str">
        <f t="shared" si="4"/>
        <v>Tidak</v>
      </c>
      <c r="N35" s="7" t="str">
        <f t="shared" si="5"/>
        <v>Tidak</v>
      </c>
      <c r="O35" s="7" t="str">
        <f t="shared" si="6"/>
        <v>Tidak</v>
      </c>
      <c r="P35" s="7" t="str">
        <f t="shared" si="7"/>
        <v>Tidak</v>
      </c>
      <c r="Q35" s="7" t="str">
        <f t="shared" si="8"/>
        <v>Tidak</v>
      </c>
      <c r="R35" s="7" t="str">
        <f t="shared" si="9"/>
        <v>Tidak</v>
      </c>
      <c r="S35" s="7" t="str">
        <f t="shared" si="10"/>
        <v>Tidak</v>
      </c>
      <c r="T35" s="7" t="str">
        <f t="shared" si="11"/>
        <v>Tidak</v>
      </c>
      <c r="U35" s="7" t="str">
        <f t="shared" si="12"/>
        <v>Tidak</v>
      </c>
      <c r="V35" s="7" t="str">
        <f t="shared" si="13"/>
        <v>Tidak</v>
      </c>
      <c r="W35" s="7" t="str">
        <f t="shared" si="14"/>
        <v>Tidak</v>
      </c>
      <c r="X35" s="7" t="str">
        <f t="shared" si="15"/>
        <v>Tidak</v>
      </c>
      <c r="Y35" s="8">
        <v>44868</v>
      </c>
      <c r="Z35" s="7" t="s">
        <v>371</v>
      </c>
      <c r="AA35" s="7">
        <f t="shared" si="16"/>
        <v>2</v>
      </c>
      <c r="AB35" s="7" t="str">
        <f t="shared" si="17"/>
        <v>Sedang</v>
      </c>
      <c r="AC35" s="7" t="str">
        <f t="shared" si="18"/>
        <v>Tidak</v>
      </c>
      <c r="AD35" s="7" t="s">
        <v>372</v>
      </c>
      <c r="AE35" s="7" t="s">
        <v>226</v>
      </c>
      <c r="AF35" s="7" t="str">
        <f t="shared" si="19"/>
        <v>Maksektomi</v>
      </c>
      <c r="AG35" s="8">
        <v>44874</v>
      </c>
      <c r="AH35" s="7" t="s">
        <v>32</v>
      </c>
      <c r="AI35" s="8">
        <v>44917</v>
      </c>
      <c r="AJ35" s="7" t="s">
        <v>373</v>
      </c>
      <c r="AK35" s="7" t="s">
        <v>284</v>
      </c>
      <c r="AL35" s="8">
        <v>45071</v>
      </c>
      <c r="AM35" s="7" t="s">
        <v>169</v>
      </c>
      <c r="AN35" s="8">
        <v>45127</v>
      </c>
      <c r="AO35" s="7" t="s">
        <v>313</v>
      </c>
      <c r="AP35" s="7">
        <v>30</v>
      </c>
      <c r="AQ35" s="8">
        <v>45176</v>
      </c>
      <c r="AR35" s="7" t="s">
        <v>374</v>
      </c>
      <c r="AS35" s="7" t="s">
        <v>375</v>
      </c>
      <c r="AT35" s="7" t="str">
        <f t="shared" si="20"/>
        <v>Tidak ada</v>
      </c>
      <c r="AU35" s="7" t="s">
        <v>376</v>
      </c>
      <c r="AV35" s="7" t="str">
        <f t="shared" si="21"/>
        <v>Tidak ada</v>
      </c>
      <c r="AW35" s="7" t="str">
        <f t="shared" si="22"/>
        <v>Efektif</v>
      </c>
      <c r="AX35" s="7"/>
    </row>
    <row r="36" spans="1:50" x14ac:dyDescent="0.35">
      <c r="A36" s="7">
        <v>35</v>
      </c>
      <c r="B36" s="7">
        <v>1998504</v>
      </c>
      <c r="C36" s="7" t="s">
        <v>377</v>
      </c>
      <c r="D36" s="21">
        <v>48</v>
      </c>
      <c r="E36" s="7" t="s">
        <v>378</v>
      </c>
      <c r="F36" s="7">
        <v>1.61</v>
      </c>
      <c r="G36" s="7" t="s">
        <v>27</v>
      </c>
      <c r="H36" s="7" t="s">
        <v>309</v>
      </c>
      <c r="I36" s="7" t="str">
        <f t="shared" si="0"/>
        <v>Tidak</v>
      </c>
      <c r="J36" s="7" t="str">
        <f t="shared" si="1"/>
        <v>Tidak</v>
      </c>
      <c r="K36" s="7" t="str">
        <f t="shared" si="2"/>
        <v>Tidak</v>
      </c>
      <c r="L36" s="7" t="str">
        <f t="shared" si="3"/>
        <v>Ya</v>
      </c>
      <c r="M36" s="7" t="str">
        <f t="shared" si="4"/>
        <v>Tidak</v>
      </c>
      <c r="N36" s="7" t="str">
        <f t="shared" si="5"/>
        <v>Tidak</v>
      </c>
      <c r="O36" s="7" t="str">
        <f t="shared" si="6"/>
        <v>Tidak</v>
      </c>
      <c r="P36" s="7" t="str">
        <f t="shared" si="7"/>
        <v>Tidak</v>
      </c>
      <c r="Q36" s="7" t="str">
        <f t="shared" si="8"/>
        <v>Tidak</v>
      </c>
      <c r="R36" s="7" t="str">
        <f t="shared" si="9"/>
        <v>Tidak</v>
      </c>
      <c r="S36" s="7" t="str">
        <f t="shared" si="10"/>
        <v>Tidak</v>
      </c>
      <c r="T36" s="7" t="str">
        <f t="shared" si="11"/>
        <v>Tidak</v>
      </c>
      <c r="U36" s="7" t="str">
        <f t="shared" si="12"/>
        <v>Tidak</v>
      </c>
      <c r="V36" s="7" t="str">
        <f t="shared" si="13"/>
        <v>Tidak</v>
      </c>
      <c r="W36" s="7" t="str">
        <f t="shared" si="14"/>
        <v>Tidak</v>
      </c>
      <c r="X36" s="7" t="str">
        <f t="shared" si="15"/>
        <v>Tidak</v>
      </c>
      <c r="Y36" s="8">
        <v>44824</v>
      </c>
      <c r="Z36" s="7" t="s">
        <v>379</v>
      </c>
      <c r="AA36" s="7">
        <f t="shared" si="16"/>
        <v>2</v>
      </c>
      <c r="AB36" s="7" t="str">
        <f t="shared" si="17"/>
        <v>Kecil</v>
      </c>
      <c r="AC36" s="7" t="str">
        <f t="shared" si="18"/>
        <v>Ya</v>
      </c>
      <c r="AD36" s="7" t="s">
        <v>380</v>
      </c>
      <c r="AE36" s="7" t="s">
        <v>31</v>
      </c>
      <c r="AF36" s="7" t="str">
        <f t="shared" si="19"/>
        <v>Maksektomi</v>
      </c>
      <c r="AG36" s="8">
        <v>44827</v>
      </c>
      <c r="AH36" s="7" t="s">
        <v>32</v>
      </c>
      <c r="AI36" s="8">
        <v>44904</v>
      </c>
      <c r="AJ36" s="7" t="s">
        <v>381</v>
      </c>
      <c r="AK36" s="7" t="s">
        <v>284</v>
      </c>
      <c r="AL36" s="8">
        <v>45063</v>
      </c>
      <c r="AM36" s="7" t="s">
        <v>352</v>
      </c>
      <c r="AN36" s="8">
        <v>45139</v>
      </c>
      <c r="AO36" s="7" t="s">
        <v>313</v>
      </c>
      <c r="AP36" s="7">
        <v>30</v>
      </c>
      <c r="AQ36" s="8">
        <v>45187</v>
      </c>
      <c r="AR36" s="7" t="s">
        <v>382</v>
      </c>
      <c r="AS36" s="7" t="s">
        <v>383</v>
      </c>
      <c r="AT36" s="7" t="str">
        <f t="shared" si="20"/>
        <v>Tidak ada</v>
      </c>
      <c r="AU36" s="7" t="s">
        <v>921</v>
      </c>
      <c r="AV36" s="7" t="str">
        <f t="shared" si="21"/>
        <v>Tidak ada</v>
      </c>
      <c r="AW36" s="7" t="str">
        <f t="shared" si="22"/>
        <v>Efektif</v>
      </c>
      <c r="AX36" s="7" t="s">
        <v>121</v>
      </c>
    </row>
    <row r="37" spans="1:50" x14ac:dyDescent="0.35">
      <c r="A37" s="7">
        <v>36</v>
      </c>
      <c r="B37" s="7">
        <v>2023178</v>
      </c>
      <c r="C37" s="7" t="s">
        <v>384</v>
      </c>
      <c r="D37" s="21">
        <v>58</v>
      </c>
      <c r="E37" s="7" t="s">
        <v>385</v>
      </c>
      <c r="F37" s="7">
        <v>1.44</v>
      </c>
      <c r="G37" s="7" t="s">
        <v>27</v>
      </c>
      <c r="H37" s="7"/>
      <c r="I37" s="7" t="str">
        <f t="shared" si="0"/>
        <v>Tidak</v>
      </c>
      <c r="J37" s="7" t="str">
        <f t="shared" si="1"/>
        <v>Tidak</v>
      </c>
      <c r="K37" s="7" t="str">
        <f t="shared" si="2"/>
        <v>Tidak</v>
      </c>
      <c r="L37" s="7" t="str">
        <f t="shared" si="3"/>
        <v>Tidak</v>
      </c>
      <c r="M37" s="7" t="str">
        <f t="shared" si="4"/>
        <v>Tidak</v>
      </c>
      <c r="N37" s="7" t="str">
        <f t="shared" si="5"/>
        <v>Tidak</v>
      </c>
      <c r="O37" s="7" t="str">
        <f t="shared" si="6"/>
        <v>Tidak</v>
      </c>
      <c r="P37" s="7" t="str">
        <f t="shared" si="7"/>
        <v>Tidak</v>
      </c>
      <c r="Q37" s="7" t="str">
        <f t="shared" si="8"/>
        <v>Tidak</v>
      </c>
      <c r="R37" s="7" t="str">
        <f t="shared" si="9"/>
        <v>Tidak</v>
      </c>
      <c r="S37" s="7" t="str">
        <f t="shared" si="10"/>
        <v>Tidak</v>
      </c>
      <c r="T37" s="7" t="str">
        <f t="shared" si="11"/>
        <v>Tidak</v>
      </c>
      <c r="U37" s="7" t="str">
        <f t="shared" si="12"/>
        <v>Tidak</v>
      </c>
      <c r="V37" s="7" t="str">
        <f t="shared" si="13"/>
        <v>Tidak</v>
      </c>
      <c r="W37" s="7" t="str">
        <f t="shared" si="14"/>
        <v>Tidak</v>
      </c>
      <c r="X37" s="7" t="str">
        <f t="shared" si="15"/>
        <v>Tidak</v>
      </c>
      <c r="Y37" s="8">
        <v>44797</v>
      </c>
      <c r="Z37" s="7" t="s">
        <v>386</v>
      </c>
      <c r="AA37" s="7">
        <f t="shared" si="16"/>
        <v>2</v>
      </c>
      <c r="AB37" s="7" t="str">
        <f t="shared" si="17"/>
        <v>Kecil</v>
      </c>
      <c r="AC37" s="7" t="str">
        <f t="shared" si="18"/>
        <v>Ya</v>
      </c>
      <c r="AD37" s="7" t="s">
        <v>387</v>
      </c>
      <c r="AE37" s="7" t="s">
        <v>31</v>
      </c>
      <c r="AF37" s="7" t="str">
        <f t="shared" si="19"/>
        <v>Maksektomi</v>
      </c>
      <c r="AG37" s="8">
        <v>44801</v>
      </c>
      <c r="AH37" s="7" t="s">
        <v>32</v>
      </c>
      <c r="AI37" s="8">
        <v>44939</v>
      </c>
      <c r="AJ37" s="7" t="s">
        <v>388</v>
      </c>
      <c r="AK37" s="7" t="s">
        <v>389</v>
      </c>
      <c r="AL37" s="8">
        <v>44939</v>
      </c>
      <c r="AM37" s="7" t="s">
        <v>352</v>
      </c>
      <c r="AN37" s="8">
        <v>45140</v>
      </c>
      <c r="AO37" s="7" t="s">
        <v>390</v>
      </c>
      <c r="AP37" s="7">
        <v>25</v>
      </c>
      <c r="AQ37" s="8">
        <v>45182</v>
      </c>
      <c r="AR37" s="7" t="s">
        <v>391</v>
      </c>
      <c r="AS37" s="7" t="s">
        <v>392</v>
      </c>
      <c r="AT37" s="7" t="str">
        <f t="shared" si="20"/>
        <v>Tidak ada</v>
      </c>
      <c r="AU37" s="7" t="s">
        <v>393</v>
      </c>
      <c r="AV37" s="7" t="str">
        <f t="shared" si="21"/>
        <v>Tidak ada</v>
      </c>
      <c r="AW37" s="7" t="str">
        <f t="shared" si="22"/>
        <v>Efektif</v>
      </c>
      <c r="AX37" s="7" t="s">
        <v>394</v>
      </c>
    </row>
    <row r="38" spans="1:50" x14ac:dyDescent="0.35">
      <c r="A38" s="7">
        <v>37</v>
      </c>
      <c r="B38" s="7">
        <v>2036212</v>
      </c>
      <c r="C38" s="7" t="s">
        <v>395</v>
      </c>
      <c r="D38" s="21">
        <v>36</v>
      </c>
      <c r="E38" s="7" t="s">
        <v>396</v>
      </c>
      <c r="F38" s="7">
        <v>1.64</v>
      </c>
      <c r="G38" s="7" t="s">
        <v>397</v>
      </c>
      <c r="H38" s="7"/>
      <c r="I38" s="7" t="str">
        <f t="shared" si="0"/>
        <v>Tidak</v>
      </c>
      <c r="J38" s="7" t="str">
        <f t="shared" si="1"/>
        <v>Tidak</v>
      </c>
      <c r="K38" s="7" t="str">
        <f t="shared" si="2"/>
        <v>Tidak</v>
      </c>
      <c r="L38" s="7" t="str">
        <f t="shared" si="3"/>
        <v>Tidak</v>
      </c>
      <c r="M38" s="7" t="str">
        <f t="shared" si="4"/>
        <v>Tidak</v>
      </c>
      <c r="N38" s="7" t="str">
        <f t="shared" si="5"/>
        <v>Tidak</v>
      </c>
      <c r="O38" s="7" t="str">
        <f t="shared" si="6"/>
        <v>Tidak</v>
      </c>
      <c r="P38" s="7" t="str">
        <f t="shared" si="7"/>
        <v>Tidak</v>
      </c>
      <c r="Q38" s="7" t="str">
        <f t="shared" si="8"/>
        <v>Tidak</v>
      </c>
      <c r="R38" s="7" t="str">
        <f t="shared" si="9"/>
        <v>Tidak</v>
      </c>
      <c r="S38" s="7" t="str">
        <f t="shared" si="10"/>
        <v>Tidak</v>
      </c>
      <c r="T38" s="7" t="str">
        <f t="shared" si="11"/>
        <v>Tidak</v>
      </c>
      <c r="U38" s="7" t="str">
        <f t="shared" si="12"/>
        <v>Tidak</v>
      </c>
      <c r="V38" s="7" t="str">
        <f t="shared" si="13"/>
        <v>Tidak</v>
      </c>
      <c r="W38" s="7" t="str">
        <f t="shared" si="14"/>
        <v>Tidak</v>
      </c>
      <c r="X38" s="7" t="str">
        <f t="shared" si="15"/>
        <v>Tidak</v>
      </c>
      <c r="Y38" s="8">
        <v>44888</v>
      </c>
      <c r="Z38" s="7" t="s">
        <v>398</v>
      </c>
      <c r="AA38" s="7">
        <f t="shared" si="16"/>
        <v>3</v>
      </c>
      <c r="AB38" s="7" t="str">
        <f t="shared" si="17"/>
        <v>Besar</v>
      </c>
      <c r="AC38" s="7" t="str">
        <f t="shared" si="18"/>
        <v>Ya</v>
      </c>
      <c r="AD38" s="7" t="s">
        <v>399</v>
      </c>
      <c r="AE38" s="7" t="s">
        <v>57</v>
      </c>
      <c r="AF38" s="7" t="str">
        <f t="shared" si="19"/>
        <v>Maksektomi</v>
      </c>
      <c r="AG38" s="8">
        <v>44894</v>
      </c>
      <c r="AH38" s="7" t="s">
        <v>32</v>
      </c>
      <c r="AI38" s="8">
        <v>44936</v>
      </c>
      <c r="AJ38" s="7" t="s">
        <v>400</v>
      </c>
      <c r="AK38" s="7" t="s">
        <v>284</v>
      </c>
      <c r="AL38" s="8">
        <v>45107</v>
      </c>
      <c r="AM38" s="7" t="s">
        <v>401</v>
      </c>
      <c r="AN38" s="8">
        <v>45145</v>
      </c>
      <c r="AO38" s="7" t="s">
        <v>313</v>
      </c>
      <c r="AP38" s="7">
        <v>30</v>
      </c>
      <c r="AQ38" s="8">
        <v>45198</v>
      </c>
      <c r="AR38" s="7" t="s">
        <v>199</v>
      </c>
      <c r="AS38" s="7" t="s">
        <v>402</v>
      </c>
      <c r="AT38" s="7" t="str">
        <f t="shared" si="20"/>
        <v>Tidak ada</v>
      </c>
      <c r="AU38" s="7" t="s">
        <v>403</v>
      </c>
      <c r="AV38" s="7" t="str">
        <f t="shared" si="21"/>
        <v>Tidak ada</v>
      </c>
      <c r="AW38" s="7" t="str">
        <f t="shared" si="22"/>
        <v>Efektif</v>
      </c>
      <c r="AX38" s="7" t="s">
        <v>404</v>
      </c>
    </row>
    <row r="39" spans="1:50" x14ac:dyDescent="0.35">
      <c r="A39" s="7">
        <v>38</v>
      </c>
      <c r="B39" s="7">
        <v>2036270</v>
      </c>
      <c r="C39" s="7" t="s">
        <v>405</v>
      </c>
      <c r="D39" s="21">
        <v>65</v>
      </c>
      <c r="E39" s="7" t="s">
        <v>406</v>
      </c>
      <c r="F39" s="7">
        <v>1.63</v>
      </c>
      <c r="G39" s="7" t="s">
        <v>397</v>
      </c>
      <c r="H39" s="7"/>
      <c r="I39" s="7" t="str">
        <f t="shared" si="0"/>
        <v>Tidak</v>
      </c>
      <c r="J39" s="7" t="str">
        <f t="shared" si="1"/>
        <v>Tidak</v>
      </c>
      <c r="K39" s="7" t="str">
        <f t="shared" si="2"/>
        <v>Tidak</v>
      </c>
      <c r="L39" s="7" t="str">
        <f t="shared" si="3"/>
        <v>Tidak</v>
      </c>
      <c r="M39" s="7" t="str">
        <f t="shared" si="4"/>
        <v>Tidak</v>
      </c>
      <c r="N39" s="7" t="str">
        <f t="shared" si="5"/>
        <v>Tidak</v>
      </c>
      <c r="O39" s="7" t="str">
        <f t="shared" si="6"/>
        <v>Tidak</v>
      </c>
      <c r="P39" s="7" t="str">
        <f t="shared" si="7"/>
        <v>Tidak</v>
      </c>
      <c r="Q39" s="7" t="str">
        <f t="shared" si="8"/>
        <v>Tidak</v>
      </c>
      <c r="R39" s="7" t="str">
        <f t="shared" si="9"/>
        <v>Tidak</v>
      </c>
      <c r="S39" s="7" t="str">
        <f t="shared" si="10"/>
        <v>Tidak</v>
      </c>
      <c r="T39" s="7" t="str">
        <f t="shared" si="11"/>
        <v>Tidak</v>
      </c>
      <c r="U39" s="7" t="str">
        <f t="shared" si="12"/>
        <v>Tidak</v>
      </c>
      <c r="V39" s="7" t="str">
        <f t="shared" si="13"/>
        <v>Tidak</v>
      </c>
      <c r="W39" s="7" t="str">
        <f t="shared" si="14"/>
        <v>Tidak</v>
      </c>
      <c r="X39" s="7" t="str">
        <f t="shared" si="15"/>
        <v>Tidak</v>
      </c>
      <c r="Y39" s="8">
        <v>44891</v>
      </c>
      <c r="Z39" s="7"/>
      <c r="AA39" s="7">
        <f t="shared" si="16"/>
        <v>1</v>
      </c>
      <c r="AB39" s="7" t="str">
        <f t="shared" si="17"/>
        <v>Tidak diketahui</v>
      </c>
      <c r="AC39" s="7" t="str">
        <f t="shared" si="18"/>
        <v>Tidak diketahui</v>
      </c>
      <c r="AD39" s="7" t="s">
        <v>407</v>
      </c>
      <c r="AE39" s="7" t="s">
        <v>226</v>
      </c>
      <c r="AF39" s="7" t="str">
        <f t="shared" si="19"/>
        <v>Maksektomi</v>
      </c>
      <c r="AG39" s="8">
        <v>44894</v>
      </c>
      <c r="AH39" s="7" t="s">
        <v>32</v>
      </c>
      <c r="AI39" s="8">
        <v>44936</v>
      </c>
      <c r="AJ39" s="7" t="s">
        <v>408</v>
      </c>
      <c r="AK39" s="7" t="s">
        <v>284</v>
      </c>
      <c r="AL39" s="8">
        <v>45107</v>
      </c>
      <c r="AM39" s="7" t="s">
        <v>401</v>
      </c>
      <c r="AN39" s="8">
        <v>45145</v>
      </c>
      <c r="AO39" s="7" t="s">
        <v>313</v>
      </c>
      <c r="AP39" s="7">
        <v>30</v>
      </c>
      <c r="AQ39" s="8">
        <v>45196</v>
      </c>
      <c r="AR39" s="7" t="s">
        <v>409</v>
      </c>
      <c r="AS39" s="7" t="s">
        <v>410</v>
      </c>
      <c r="AT39" s="7" t="str">
        <f t="shared" si="20"/>
        <v>Tidak ada</v>
      </c>
      <c r="AU39" s="7" t="s">
        <v>411</v>
      </c>
      <c r="AV39" s="7" t="str">
        <f t="shared" si="21"/>
        <v>Tidak ada</v>
      </c>
      <c r="AW39" s="7" t="str">
        <f t="shared" si="22"/>
        <v>Efektif</v>
      </c>
      <c r="AX39" s="7" t="s">
        <v>404</v>
      </c>
    </row>
    <row r="40" spans="1:50" x14ac:dyDescent="0.35">
      <c r="A40" s="7">
        <v>39</v>
      </c>
      <c r="B40" s="7">
        <v>2042583</v>
      </c>
      <c r="C40" s="7" t="s">
        <v>412</v>
      </c>
      <c r="D40" s="21">
        <v>50</v>
      </c>
      <c r="E40" s="7" t="s">
        <v>413</v>
      </c>
      <c r="F40" s="7">
        <v>1.56</v>
      </c>
      <c r="G40" s="7" t="s">
        <v>43</v>
      </c>
      <c r="H40" s="7"/>
      <c r="I40" s="7" t="str">
        <f t="shared" si="0"/>
        <v>Tidak</v>
      </c>
      <c r="J40" s="7" t="str">
        <f t="shared" si="1"/>
        <v>Tidak</v>
      </c>
      <c r="K40" s="7" t="str">
        <f t="shared" si="2"/>
        <v>Tidak</v>
      </c>
      <c r="L40" s="7" t="str">
        <f t="shared" si="3"/>
        <v>Tidak</v>
      </c>
      <c r="M40" s="7" t="str">
        <f t="shared" si="4"/>
        <v>Tidak</v>
      </c>
      <c r="N40" s="7" t="str">
        <f t="shared" si="5"/>
        <v>Tidak</v>
      </c>
      <c r="O40" s="7" t="str">
        <f t="shared" si="6"/>
        <v>Tidak</v>
      </c>
      <c r="P40" s="7" t="str">
        <f t="shared" si="7"/>
        <v>Tidak</v>
      </c>
      <c r="Q40" s="7" t="str">
        <f t="shared" si="8"/>
        <v>Tidak</v>
      </c>
      <c r="R40" s="7" t="str">
        <f t="shared" si="9"/>
        <v>Tidak</v>
      </c>
      <c r="S40" s="7" t="str">
        <f t="shared" si="10"/>
        <v>Tidak</v>
      </c>
      <c r="T40" s="7" t="str">
        <f t="shared" si="11"/>
        <v>Tidak</v>
      </c>
      <c r="U40" s="7" t="str">
        <f t="shared" si="12"/>
        <v>Tidak</v>
      </c>
      <c r="V40" s="7" t="str">
        <f t="shared" si="13"/>
        <v>Tidak</v>
      </c>
      <c r="W40" s="7" t="str">
        <f t="shared" si="14"/>
        <v>Tidak</v>
      </c>
      <c r="X40" s="7" t="str">
        <f t="shared" si="15"/>
        <v>Tidak</v>
      </c>
      <c r="Y40" s="8">
        <v>44938</v>
      </c>
      <c r="Z40" s="7" t="s">
        <v>414</v>
      </c>
      <c r="AA40" s="7">
        <f t="shared" si="16"/>
        <v>1</v>
      </c>
      <c r="AB40" s="7" t="str">
        <f t="shared" si="17"/>
        <v>Kecil</v>
      </c>
      <c r="AC40" s="7" t="str">
        <f t="shared" si="18"/>
        <v>Tidak</v>
      </c>
      <c r="AD40" s="7" t="s">
        <v>415</v>
      </c>
      <c r="AE40" s="7" t="s">
        <v>31</v>
      </c>
      <c r="AF40" s="7" t="str">
        <f t="shared" si="19"/>
        <v>Maksektomi</v>
      </c>
      <c r="AG40" s="8">
        <v>44943</v>
      </c>
      <c r="AH40" s="7" t="s">
        <v>227</v>
      </c>
      <c r="AI40" s="8">
        <v>44972</v>
      </c>
      <c r="AJ40" s="7" t="s">
        <v>416</v>
      </c>
      <c r="AK40" s="7" t="s">
        <v>72</v>
      </c>
      <c r="AL40" s="8">
        <v>45090</v>
      </c>
      <c r="AM40" s="7" t="s">
        <v>417</v>
      </c>
      <c r="AN40" s="8">
        <v>45145</v>
      </c>
      <c r="AO40" s="7" t="s">
        <v>295</v>
      </c>
      <c r="AP40" s="7">
        <v>25</v>
      </c>
      <c r="AQ40" s="8">
        <v>45187</v>
      </c>
      <c r="AR40" s="7" t="s">
        <v>418</v>
      </c>
      <c r="AS40" s="7" t="s">
        <v>419</v>
      </c>
      <c r="AT40" s="7" t="str">
        <f t="shared" si="20"/>
        <v>Tidak ada</v>
      </c>
      <c r="AU40" s="7" t="s">
        <v>420</v>
      </c>
      <c r="AV40" s="7" t="str">
        <f t="shared" si="21"/>
        <v>Tidak ada</v>
      </c>
      <c r="AW40" s="7" t="str">
        <f t="shared" si="22"/>
        <v>Efektif</v>
      </c>
      <c r="AX40" s="7"/>
    </row>
    <row r="41" spans="1:50" x14ac:dyDescent="0.35">
      <c r="A41" s="7">
        <v>40</v>
      </c>
      <c r="B41" s="7">
        <v>2029104</v>
      </c>
      <c r="C41" s="7" t="s">
        <v>421</v>
      </c>
      <c r="D41" s="21">
        <v>55</v>
      </c>
      <c r="E41" s="7" t="s">
        <v>422</v>
      </c>
      <c r="F41" s="7">
        <v>1.63</v>
      </c>
      <c r="G41" s="7" t="s">
        <v>43</v>
      </c>
      <c r="H41" s="7"/>
      <c r="I41" s="7" t="str">
        <f t="shared" si="0"/>
        <v>Tidak</v>
      </c>
      <c r="J41" s="7" t="str">
        <f t="shared" si="1"/>
        <v>Tidak</v>
      </c>
      <c r="K41" s="7" t="str">
        <f t="shared" si="2"/>
        <v>Tidak</v>
      </c>
      <c r="L41" s="7" t="str">
        <f t="shared" si="3"/>
        <v>Tidak</v>
      </c>
      <c r="M41" s="7" t="str">
        <f t="shared" si="4"/>
        <v>Tidak</v>
      </c>
      <c r="N41" s="7" t="str">
        <f t="shared" si="5"/>
        <v>Tidak</v>
      </c>
      <c r="O41" s="7" t="str">
        <f t="shared" si="6"/>
        <v>Tidak</v>
      </c>
      <c r="P41" s="7" t="str">
        <f t="shared" si="7"/>
        <v>Tidak</v>
      </c>
      <c r="Q41" s="7" t="str">
        <f t="shared" si="8"/>
        <v>Tidak</v>
      </c>
      <c r="R41" s="7" t="str">
        <f t="shared" si="9"/>
        <v>Tidak</v>
      </c>
      <c r="S41" s="7" t="str">
        <f t="shared" si="10"/>
        <v>Tidak</v>
      </c>
      <c r="T41" s="7" t="str">
        <f t="shared" si="11"/>
        <v>Tidak</v>
      </c>
      <c r="U41" s="7" t="str">
        <f t="shared" si="12"/>
        <v>Tidak</v>
      </c>
      <c r="V41" s="7" t="str">
        <f t="shared" si="13"/>
        <v>Tidak</v>
      </c>
      <c r="W41" s="7" t="str">
        <f t="shared" si="14"/>
        <v>Tidak</v>
      </c>
      <c r="X41" s="7" t="str">
        <f t="shared" si="15"/>
        <v>Tidak</v>
      </c>
      <c r="Y41" s="8">
        <v>44837</v>
      </c>
      <c r="Z41" s="7" t="s">
        <v>423</v>
      </c>
      <c r="AA41" s="7">
        <f t="shared" si="16"/>
        <v>3</v>
      </c>
      <c r="AB41" s="7" t="str">
        <f t="shared" si="17"/>
        <v>Besar</v>
      </c>
      <c r="AC41" s="7" t="str">
        <f t="shared" si="18"/>
        <v>Ya</v>
      </c>
      <c r="AD41" s="7" t="s">
        <v>424</v>
      </c>
      <c r="AE41" s="7" t="s">
        <v>31</v>
      </c>
      <c r="AF41" s="7" t="str">
        <f t="shared" si="19"/>
        <v>Maksektomi</v>
      </c>
      <c r="AG41" s="8">
        <v>44847</v>
      </c>
      <c r="AH41" s="7" t="s">
        <v>227</v>
      </c>
      <c r="AI41" s="8">
        <v>44880</v>
      </c>
      <c r="AJ41" s="7" t="s">
        <v>425</v>
      </c>
      <c r="AK41" s="7" t="s">
        <v>426</v>
      </c>
      <c r="AL41" s="8">
        <v>44985</v>
      </c>
      <c r="AM41" s="7" t="s">
        <v>352</v>
      </c>
      <c r="AN41" s="8">
        <v>45182</v>
      </c>
      <c r="AO41" s="7" t="s">
        <v>313</v>
      </c>
      <c r="AP41" s="7">
        <v>30</v>
      </c>
      <c r="AQ41" s="8">
        <v>45226</v>
      </c>
      <c r="AR41" s="7" t="s">
        <v>427</v>
      </c>
      <c r="AS41" s="7" t="s">
        <v>428</v>
      </c>
      <c r="AT41" s="7" t="str">
        <f t="shared" si="20"/>
        <v>Tidak ada</v>
      </c>
      <c r="AU41" s="7" t="s">
        <v>429</v>
      </c>
      <c r="AV41" s="7" t="str">
        <f t="shared" si="21"/>
        <v>Tidak ada</v>
      </c>
      <c r="AW41" s="7" t="str">
        <f t="shared" si="22"/>
        <v>Efektif</v>
      </c>
      <c r="AX41" s="7" t="s">
        <v>430</v>
      </c>
    </row>
    <row r="42" spans="1:50" x14ac:dyDescent="0.35">
      <c r="A42" s="7">
        <v>41</v>
      </c>
      <c r="B42" s="7">
        <v>1621186</v>
      </c>
      <c r="C42" s="7" t="s">
        <v>431</v>
      </c>
      <c r="D42" s="21">
        <v>59</v>
      </c>
      <c r="E42" s="7" t="s">
        <v>432</v>
      </c>
      <c r="F42" s="7">
        <v>1.5</v>
      </c>
      <c r="G42" s="7" t="s">
        <v>433</v>
      </c>
      <c r="H42" s="7"/>
      <c r="I42" s="7" t="str">
        <f t="shared" si="0"/>
        <v>Tidak</v>
      </c>
      <c r="J42" s="7" t="str">
        <f t="shared" si="1"/>
        <v>Tidak</v>
      </c>
      <c r="K42" s="7" t="str">
        <f t="shared" si="2"/>
        <v>Tidak</v>
      </c>
      <c r="L42" s="7" t="str">
        <f t="shared" si="3"/>
        <v>Tidak</v>
      </c>
      <c r="M42" s="7" t="str">
        <f t="shared" si="4"/>
        <v>Tidak</v>
      </c>
      <c r="N42" s="7" t="str">
        <f t="shared" si="5"/>
        <v>Tidak</v>
      </c>
      <c r="O42" s="7" t="str">
        <f t="shared" si="6"/>
        <v>Tidak</v>
      </c>
      <c r="P42" s="7" t="str">
        <f t="shared" si="7"/>
        <v>Tidak</v>
      </c>
      <c r="Q42" s="7" t="str">
        <f t="shared" si="8"/>
        <v>Tidak</v>
      </c>
      <c r="R42" s="7" t="str">
        <f t="shared" si="9"/>
        <v>Tidak</v>
      </c>
      <c r="S42" s="7" t="str">
        <f t="shared" si="10"/>
        <v>Tidak</v>
      </c>
      <c r="T42" s="7" t="str">
        <f t="shared" si="11"/>
        <v>Tidak</v>
      </c>
      <c r="U42" s="7" t="str">
        <f t="shared" si="12"/>
        <v>Tidak</v>
      </c>
      <c r="V42" s="7" t="str">
        <f t="shared" si="13"/>
        <v>Tidak</v>
      </c>
      <c r="W42" s="7" t="str">
        <f t="shared" si="14"/>
        <v>Tidak</v>
      </c>
      <c r="X42" s="7" t="str">
        <f t="shared" si="15"/>
        <v>Tidak</v>
      </c>
      <c r="Y42" s="8">
        <v>44930</v>
      </c>
      <c r="Z42" s="7" t="s">
        <v>434</v>
      </c>
      <c r="AA42" s="7">
        <f t="shared" si="16"/>
        <v>3</v>
      </c>
      <c r="AB42" s="7" t="str">
        <f t="shared" si="17"/>
        <v>Besar</v>
      </c>
      <c r="AC42" s="7" t="str">
        <f t="shared" si="18"/>
        <v>Tidak</v>
      </c>
      <c r="AD42" s="7" t="s">
        <v>435</v>
      </c>
      <c r="AE42" s="7" t="s">
        <v>57</v>
      </c>
      <c r="AF42" s="7" t="str">
        <f t="shared" si="19"/>
        <v>Maksektomi</v>
      </c>
      <c r="AG42" s="8">
        <v>44957</v>
      </c>
      <c r="AH42" s="7" t="s">
        <v>32</v>
      </c>
      <c r="AI42" s="8">
        <v>44988</v>
      </c>
      <c r="AJ42" s="7" t="s">
        <v>436</v>
      </c>
      <c r="AK42" s="7" t="s">
        <v>72</v>
      </c>
      <c r="AL42" s="8">
        <v>45124</v>
      </c>
      <c r="AM42" s="7" t="s">
        <v>352</v>
      </c>
      <c r="AN42" s="8">
        <v>45187</v>
      </c>
      <c r="AO42" s="7" t="s">
        <v>295</v>
      </c>
      <c r="AP42" s="7">
        <v>25</v>
      </c>
      <c r="AQ42" s="8">
        <v>45224</v>
      </c>
      <c r="AR42" s="7" t="s">
        <v>437</v>
      </c>
      <c r="AS42" s="7" t="s">
        <v>438</v>
      </c>
      <c r="AT42" s="7" t="str">
        <f t="shared" si="20"/>
        <v>Tidak ada</v>
      </c>
      <c r="AU42" s="7" t="s">
        <v>439</v>
      </c>
      <c r="AV42" s="7" t="str">
        <f t="shared" si="21"/>
        <v>Tidak ada</v>
      </c>
      <c r="AW42" s="7" t="str">
        <f t="shared" si="22"/>
        <v>Efektif</v>
      </c>
      <c r="AX42" s="7" t="s">
        <v>430</v>
      </c>
    </row>
    <row r="43" spans="1:50" x14ac:dyDescent="0.35">
      <c r="A43" s="7">
        <v>42</v>
      </c>
      <c r="B43" s="7">
        <v>2059690</v>
      </c>
      <c r="C43" s="7" t="s">
        <v>440</v>
      </c>
      <c r="D43" s="21">
        <v>47</v>
      </c>
      <c r="E43" s="7" t="s">
        <v>441</v>
      </c>
      <c r="F43" s="7">
        <v>1.48</v>
      </c>
      <c r="G43" s="7" t="s">
        <v>43</v>
      </c>
      <c r="H43" s="7"/>
      <c r="I43" s="7" t="str">
        <f t="shared" si="0"/>
        <v>Tidak</v>
      </c>
      <c r="J43" s="7" t="str">
        <f t="shared" si="1"/>
        <v>Tidak</v>
      </c>
      <c r="K43" s="7" t="str">
        <f t="shared" si="2"/>
        <v>Tidak</v>
      </c>
      <c r="L43" s="7" t="str">
        <f t="shared" si="3"/>
        <v>Tidak</v>
      </c>
      <c r="M43" s="7" t="str">
        <f t="shared" si="4"/>
        <v>Tidak</v>
      </c>
      <c r="N43" s="7" t="str">
        <f t="shared" si="5"/>
        <v>Tidak</v>
      </c>
      <c r="O43" s="7" t="str">
        <f t="shared" si="6"/>
        <v>Tidak</v>
      </c>
      <c r="P43" s="7" t="str">
        <f t="shared" si="7"/>
        <v>Tidak</v>
      </c>
      <c r="Q43" s="7" t="str">
        <f t="shared" si="8"/>
        <v>Tidak</v>
      </c>
      <c r="R43" s="7" t="str">
        <f t="shared" si="9"/>
        <v>Tidak</v>
      </c>
      <c r="S43" s="7" t="str">
        <f t="shared" si="10"/>
        <v>Tidak</v>
      </c>
      <c r="T43" s="7" t="str">
        <f t="shared" si="11"/>
        <v>Tidak</v>
      </c>
      <c r="U43" s="7" t="str">
        <f t="shared" si="12"/>
        <v>Tidak</v>
      </c>
      <c r="V43" s="7" t="str">
        <f t="shared" si="13"/>
        <v>Tidak</v>
      </c>
      <c r="W43" s="7" t="str">
        <f t="shared" si="14"/>
        <v>Tidak</v>
      </c>
      <c r="X43" s="7" t="str">
        <f t="shared" si="15"/>
        <v>Tidak</v>
      </c>
      <c r="Y43" s="8">
        <v>45076</v>
      </c>
      <c r="Z43" s="7" t="s">
        <v>442</v>
      </c>
      <c r="AA43" s="7">
        <f t="shared" si="16"/>
        <v>3</v>
      </c>
      <c r="AB43" s="7" t="str">
        <f t="shared" si="17"/>
        <v>Besar</v>
      </c>
      <c r="AC43" s="7" t="str">
        <f t="shared" si="18"/>
        <v>Ya</v>
      </c>
      <c r="AD43" s="7" t="s">
        <v>443</v>
      </c>
      <c r="AE43" s="7" t="s">
        <v>31</v>
      </c>
      <c r="AF43" s="7" t="str">
        <f t="shared" si="19"/>
        <v>Maksektomi</v>
      </c>
      <c r="AG43" s="8">
        <v>45098</v>
      </c>
      <c r="AH43" s="7" t="s">
        <v>32</v>
      </c>
      <c r="AI43" s="8">
        <v>45169</v>
      </c>
      <c r="AJ43" s="7" t="s">
        <v>444</v>
      </c>
      <c r="AK43" s="7" t="s">
        <v>72</v>
      </c>
      <c r="AL43" s="8">
        <v>45253</v>
      </c>
      <c r="AM43" s="7" t="s">
        <v>352</v>
      </c>
      <c r="AN43" s="8">
        <v>45342</v>
      </c>
      <c r="AO43" s="7" t="s">
        <v>313</v>
      </c>
      <c r="AP43" s="7">
        <v>30</v>
      </c>
      <c r="AQ43" s="8">
        <v>45224</v>
      </c>
      <c r="AR43" s="7" t="s">
        <v>445</v>
      </c>
      <c r="AS43" s="7" t="s">
        <v>446</v>
      </c>
      <c r="AT43" s="7" t="str">
        <f t="shared" si="20"/>
        <v>Tidak ada</v>
      </c>
      <c r="AU43" s="7" t="s">
        <v>447</v>
      </c>
      <c r="AV43" s="7" t="str">
        <f t="shared" si="21"/>
        <v>Tidak ada</v>
      </c>
      <c r="AW43" s="7" t="str">
        <f t="shared" si="22"/>
        <v>Efektif</v>
      </c>
      <c r="AX43" s="7" t="s">
        <v>430</v>
      </c>
    </row>
    <row r="44" spans="1:50" x14ac:dyDescent="0.35">
      <c r="A44" s="7">
        <v>43</v>
      </c>
      <c r="B44" s="7">
        <v>1836482</v>
      </c>
      <c r="C44" s="7" t="s">
        <v>448</v>
      </c>
      <c r="D44" s="21">
        <v>66</v>
      </c>
      <c r="E44" s="7" t="s">
        <v>449</v>
      </c>
      <c r="F44" s="7">
        <v>1.4</v>
      </c>
      <c r="G44" s="7" t="s">
        <v>68</v>
      </c>
      <c r="H44" s="7"/>
      <c r="I44" s="7" t="str">
        <f t="shared" si="0"/>
        <v>Tidak</v>
      </c>
      <c r="J44" s="7" t="str">
        <f t="shared" si="1"/>
        <v>Tidak</v>
      </c>
      <c r="K44" s="7" t="str">
        <f t="shared" si="2"/>
        <v>Tidak</v>
      </c>
      <c r="L44" s="7" t="str">
        <f t="shared" si="3"/>
        <v>Tidak</v>
      </c>
      <c r="M44" s="7" t="str">
        <f t="shared" si="4"/>
        <v>Tidak</v>
      </c>
      <c r="N44" s="7" t="str">
        <f t="shared" si="5"/>
        <v>Tidak</v>
      </c>
      <c r="O44" s="7" t="str">
        <f t="shared" si="6"/>
        <v>Tidak</v>
      </c>
      <c r="P44" s="7" t="str">
        <f t="shared" si="7"/>
        <v>Tidak</v>
      </c>
      <c r="Q44" s="7" t="str">
        <f t="shared" si="8"/>
        <v>Tidak</v>
      </c>
      <c r="R44" s="7" t="str">
        <f t="shared" si="9"/>
        <v>Tidak</v>
      </c>
      <c r="S44" s="7" t="str">
        <f t="shared" si="10"/>
        <v>Tidak</v>
      </c>
      <c r="T44" s="7" t="str">
        <f t="shared" si="11"/>
        <v>Tidak</v>
      </c>
      <c r="U44" s="7" t="str">
        <f t="shared" si="12"/>
        <v>Tidak</v>
      </c>
      <c r="V44" s="7" t="str">
        <f t="shared" si="13"/>
        <v>Tidak</v>
      </c>
      <c r="W44" s="7" t="str">
        <f t="shared" si="14"/>
        <v>Tidak</v>
      </c>
      <c r="X44" s="7" t="str">
        <f t="shared" si="15"/>
        <v>Tidak</v>
      </c>
      <c r="Y44" s="8">
        <v>45086</v>
      </c>
      <c r="Z44" s="7" t="s">
        <v>423</v>
      </c>
      <c r="AA44" s="7">
        <f t="shared" si="16"/>
        <v>3</v>
      </c>
      <c r="AB44" s="7" t="str">
        <f t="shared" si="17"/>
        <v>Besar</v>
      </c>
      <c r="AC44" s="7" t="str">
        <f t="shared" si="18"/>
        <v>Ya</v>
      </c>
      <c r="AD44" s="7" t="s">
        <v>450</v>
      </c>
      <c r="AE44" s="7" t="s">
        <v>57</v>
      </c>
      <c r="AF44" s="7" t="str">
        <f t="shared" si="19"/>
        <v>Maksektomi</v>
      </c>
      <c r="AG44" s="8">
        <v>45109</v>
      </c>
      <c r="AH44" s="7" t="s">
        <v>32</v>
      </c>
      <c r="AI44" s="8">
        <v>45232</v>
      </c>
      <c r="AJ44" s="7" t="s">
        <v>451</v>
      </c>
      <c r="AK44" s="7" t="s">
        <v>452</v>
      </c>
      <c r="AL44" s="8">
        <v>45232</v>
      </c>
      <c r="AM44" s="7" t="s">
        <v>352</v>
      </c>
      <c r="AN44" s="8">
        <v>45349</v>
      </c>
      <c r="AO44" s="7" t="s">
        <v>313</v>
      </c>
      <c r="AP44" s="7">
        <v>30</v>
      </c>
      <c r="AQ44" s="8">
        <v>45401</v>
      </c>
      <c r="AR44" s="7" t="s">
        <v>199</v>
      </c>
      <c r="AS44" s="7" t="s">
        <v>453</v>
      </c>
      <c r="AT44" s="7" t="str">
        <f t="shared" si="20"/>
        <v>Tidak ada</v>
      </c>
      <c r="AU44" s="7" t="s">
        <v>454</v>
      </c>
      <c r="AV44" s="7" t="str">
        <f t="shared" si="21"/>
        <v>Tidak ada</v>
      </c>
      <c r="AW44" s="7" t="str">
        <f t="shared" si="22"/>
        <v>Efektif</v>
      </c>
      <c r="AX44" s="7"/>
    </row>
    <row r="45" spans="1:50" x14ac:dyDescent="0.35">
      <c r="A45" s="7">
        <v>44</v>
      </c>
      <c r="B45" s="7">
        <v>993266</v>
      </c>
      <c r="C45" s="7" t="s">
        <v>455</v>
      </c>
      <c r="D45" s="21">
        <v>66</v>
      </c>
      <c r="E45" s="7" t="s">
        <v>456</v>
      </c>
      <c r="F45" s="7">
        <v>1.59</v>
      </c>
      <c r="G45" s="7" t="s">
        <v>68</v>
      </c>
      <c r="H45" s="7"/>
      <c r="I45" s="7" t="str">
        <f t="shared" si="0"/>
        <v>Tidak</v>
      </c>
      <c r="J45" s="7" t="str">
        <f t="shared" si="1"/>
        <v>Tidak</v>
      </c>
      <c r="K45" s="7" t="str">
        <f t="shared" si="2"/>
        <v>Tidak</v>
      </c>
      <c r="L45" s="7" t="str">
        <f t="shared" si="3"/>
        <v>Tidak</v>
      </c>
      <c r="M45" s="7" t="str">
        <f t="shared" si="4"/>
        <v>Tidak</v>
      </c>
      <c r="N45" s="7" t="str">
        <f t="shared" si="5"/>
        <v>Tidak</v>
      </c>
      <c r="O45" s="7" t="str">
        <f t="shared" si="6"/>
        <v>Tidak</v>
      </c>
      <c r="P45" s="7" t="str">
        <f t="shared" si="7"/>
        <v>Tidak</v>
      </c>
      <c r="Q45" s="7" t="str">
        <f t="shared" si="8"/>
        <v>Tidak</v>
      </c>
      <c r="R45" s="7" t="str">
        <f t="shared" si="9"/>
        <v>Tidak</v>
      </c>
      <c r="S45" s="7" t="str">
        <f t="shared" si="10"/>
        <v>Tidak</v>
      </c>
      <c r="T45" s="7" t="str">
        <f t="shared" si="11"/>
        <v>Tidak</v>
      </c>
      <c r="U45" s="7" t="str">
        <f t="shared" si="12"/>
        <v>Tidak</v>
      </c>
      <c r="V45" s="7" t="str">
        <f t="shared" si="13"/>
        <v>Tidak</v>
      </c>
      <c r="W45" s="7" t="str">
        <f t="shared" si="14"/>
        <v>Tidak</v>
      </c>
      <c r="X45" s="7" t="str">
        <f t="shared" si="15"/>
        <v>Tidak</v>
      </c>
      <c r="Y45" s="8">
        <v>45160</v>
      </c>
      <c r="Z45" s="7" t="s">
        <v>379</v>
      </c>
      <c r="AA45" s="7">
        <f t="shared" si="16"/>
        <v>2</v>
      </c>
      <c r="AB45" s="7" t="str">
        <f t="shared" si="17"/>
        <v>Kecil</v>
      </c>
      <c r="AC45" s="7" t="str">
        <f t="shared" si="18"/>
        <v>Ya</v>
      </c>
      <c r="AD45" s="7" t="s">
        <v>457</v>
      </c>
      <c r="AE45" s="7" t="s">
        <v>57</v>
      </c>
      <c r="AF45" s="7" t="str">
        <f t="shared" si="19"/>
        <v>Maksektomi</v>
      </c>
      <c r="AG45" s="8">
        <v>45140</v>
      </c>
      <c r="AH45" s="7" t="s">
        <v>32</v>
      </c>
      <c r="AI45" s="8">
        <v>45183</v>
      </c>
      <c r="AJ45" s="7" t="s">
        <v>458</v>
      </c>
      <c r="AK45" s="7" t="s">
        <v>72</v>
      </c>
      <c r="AL45" s="8">
        <v>45299</v>
      </c>
      <c r="AM45" s="7" t="s">
        <v>352</v>
      </c>
      <c r="AN45" s="8">
        <v>45351</v>
      </c>
      <c r="AO45" s="7" t="s">
        <v>295</v>
      </c>
      <c r="AP45" s="7">
        <v>25</v>
      </c>
      <c r="AQ45" s="8">
        <v>45398</v>
      </c>
      <c r="AR45" s="7" t="s">
        <v>459</v>
      </c>
      <c r="AS45" s="7" t="s">
        <v>460</v>
      </c>
      <c r="AT45" s="7" t="str">
        <f t="shared" si="20"/>
        <v>Tidak ada</v>
      </c>
      <c r="AU45" s="7" t="s">
        <v>461</v>
      </c>
      <c r="AV45" s="7" t="str">
        <f t="shared" si="21"/>
        <v>Tidak ada</v>
      </c>
      <c r="AW45" s="7" t="str">
        <f t="shared" si="22"/>
        <v>Efektif</v>
      </c>
      <c r="AX45" s="7" t="s">
        <v>462</v>
      </c>
    </row>
    <row r="46" spans="1:50" x14ac:dyDescent="0.35">
      <c r="A46" s="7">
        <v>45</v>
      </c>
      <c r="B46" s="7">
        <v>2062274</v>
      </c>
      <c r="C46" s="7" t="s">
        <v>463</v>
      </c>
      <c r="D46" s="21">
        <v>44</v>
      </c>
      <c r="E46" s="7" t="s">
        <v>464</v>
      </c>
      <c r="F46" s="7">
        <v>1.39</v>
      </c>
      <c r="G46" s="7" t="s">
        <v>27</v>
      </c>
      <c r="H46" s="7"/>
      <c r="I46" s="7" t="str">
        <f t="shared" si="0"/>
        <v>Tidak</v>
      </c>
      <c r="J46" s="7" t="str">
        <f t="shared" si="1"/>
        <v>Tidak</v>
      </c>
      <c r="K46" s="7" t="str">
        <f t="shared" si="2"/>
        <v>Tidak</v>
      </c>
      <c r="L46" s="7" t="str">
        <f t="shared" si="3"/>
        <v>Tidak</v>
      </c>
      <c r="M46" s="7" t="str">
        <f t="shared" si="4"/>
        <v>Tidak</v>
      </c>
      <c r="N46" s="7" t="str">
        <f t="shared" si="5"/>
        <v>Tidak</v>
      </c>
      <c r="O46" s="7" t="str">
        <f t="shared" si="6"/>
        <v>Tidak</v>
      </c>
      <c r="P46" s="7" t="str">
        <f t="shared" si="7"/>
        <v>Tidak</v>
      </c>
      <c r="Q46" s="7" t="str">
        <f t="shared" si="8"/>
        <v>Tidak</v>
      </c>
      <c r="R46" s="7" t="str">
        <f t="shared" si="9"/>
        <v>Tidak</v>
      </c>
      <c r="S46" s="7" t="str">
        <f t="shared" si="10"/>
        <v>Tidak</v>
      </c>
      <c r="T46" s="7" t="str">
        <f t="shared" si="11"/>
        <v>Tidak</v>
      </c>
      <c r="U46" s="7" t="str">
        <f t="shared" si="12"/>
        <v>Tidak</v>
      </c>
      <c r="V46" s="7" t="str">
        <f t="shared" si="13"/>
        <v>Tidak</v>
      </c>
      <c r="W46" s="7" t="str">
        <f t="shared" si="14"/>
        <v>Tidak</v>
      </c>
      <c r="X46" s="7" t="str">
        <f t="shared" si="15"/>
        <v>Tidak</v>
      </c>
      <c r="Y46" s="8">
        <v>45099</v>
      </c>
      <c r="Z46" s="7" t="s">
        <v>465</v>
      </c>
      <c r="AA46" s="7">
        <f t="shared" si="16"/>
        <v>3</v>
      </c>
      <c r="AB46" s="7" t="str">
        <f t="shared" si="17"/>
        <v>Besar</v>
      </c>
      <c r="AC46" s="7" t="str">
        <f t="shared" si="18"/>
        <v>Ya</v>
      </c>
      <c r="AD46" s="7" t="s">
        <v>466</v>
      </c>
      <c r="AE46" s="7" t="s">
        <v>31</v>
      </c>
      <c r="AF46" s="7" t="str">
        <f t="shared" si="19"/>
        <v>Maksektomi</v>
      </c>
      <c r="AG46" s="8">
        <v>45117</v>
      </c>
      <c r="AH46" s="7" t="s">
        <v>32</v>
      </c>
      <c r="AI46" s="8">
        <v>45149</v>
      </c>
      <c r="AJ46" s="7" t="s">
        <v>467</v>
      </c>
      <c r="AK46" s="7" t="s">
        <v>284</v>
      </c>
      <c r="AL46" s="8">
        <v>45296</v>
      </c>
      <c r="AM46" s="7" t="s">
        <v>352</v>
      </c>
      <c r="AN46" s="8">
        <v>45349</v>
      </c>
      <c r="AO46" s="7" t="s">
        <v>36</v>
      </c>
      <c r="AP46" s="7">
        <v>25</v>
      </c>
      <c r="AQ46" s="8">
        <v>45398</v>
      </c>
      <c r="AR46" s="7" t="s">
        <v>468</v>
      </c>
      <c r="AS46" s="7" t="s">
        <v>469</v>
      </c>
      <c r="AT46" s="7" t="str">
        <f t="shared" si="20"/>
        <v>Tidak ada</v>
      </c>
      <c r="AU46" s="7" t="s">
        <v>470</v>
      </c>
      <c r="AV46" s="7" t="str">
        <f t="shared" si="21"/>
        <v>Tidak ada</v>
      </c>
      <c r="AW46" s="7" t="str">
        <f t="shared" si="22"/>
        <v>Efektif</v>
      </c>
      <c r="AX46" s="7" t="s">
        <v>471</v>
      </c>
    </row>
    <row r="47" spans="1:50" x14ac:dyDescent="0.35">
      <c r="A47" s="7">
        <v>46</v>
      </c>
      <c r="B47" s="7">
        <v>2050716</v>
      </c>
      <c r="C47" s="7" t="s">
        <v>472</v>
      </c>
      <c r="D47" s="21">
        <v>58</v>
      </c>
      <c r="E47" s="7" t="s">
        <v>473</v>
      </c>
      <c r="F47" s="7">
        <v>1.63</v>
      </c>
      <c r="G47" s="7" t="s">
        <v>68</v>
      </c>
      <c r="H47" s="7"/>
      <c r="I47" s="7" t="str">
        <f t="shared" si="0"/>
        <v>Tidak</v>
      </c>
      <c r="J47" s="7" t="str">
        <f t="shared" si="1"/>
        <v>Tidak</v>
      </c>
      <c r="K47" s="7" t="str">
        <f t="shared" si="2"/>
        <v>Tidak</v>
      </c>
      <c r="L47" s="7" t="str">
        <f t="shared" si="3"/>
        <v>Tidak</v>
      </c>
      <c r="M47" s="7" t="str">
        <f t="shared" si="4"/>
        <v>Tidak</v>
      </c>
      <c r="N47" s="7" t="str">
        <f t="shared" si="5"/>
        <v>Tidak</v>
      </c>
      <c r="O47" s="7" t="str">
        <f t="shared" si="6"/>
        <v>Tidak</v>
      </c>
      <c r="P47" s="7" t="str">
        <f t="shared" si="7"/>
        <v>Tidak</v>
      </c>
      <c r="Q47" s="7" t="str">
        <f t="shared" si="8"/>
        <v>Tidak</v>
      </c>
      <c r="R47" s="7" t="str">
        <f t="shared" si="9"/>
        <v>Tidak</v>
      </c>
      <c r="S47" s="7" t="str">
        <f t="shared" si="10"/>
        <v>Tidak</v>
      </c>
      <c r="T47" s="7" t="str">
        <f t="shared" si="11"/>
        <v>Tidak</v>
      </c>
      <c r="U47" s="7" t="str">
        <f t="shared" si="12"/>
        <v>Tidak</v>
      </c>
      <c r="V47" s="7" t="str">
        <f t="shared" si="13"/>
        <v>Tidak</v>
      </c>
      <c r="W47" s="7" t="str">
        <f t="shared" si="14"/>
        <v>Tidak</v>
      </c>
      <c r="X47" s="7" t="str">
        <f t="shared" si="15"/>
        <v>Tidak</v>
      </c>
      <c r="Y47" s="8">
        <v>45000</v>
      </c>
      <c r="Z47" s="7" t="s">
        <v>474</v>
      </c>
      <c r="AA47" s="7">
        <f t="shared" si="16"/>
        <v>3</v>
      </c>
      <c r="AB47" s="7" t="str">
        <f t="shared" si="17"/>
        <v>Besar</v>
      </c>
      <c r="AC47" s="7" t="str">
        <f t="shared" si="18"/>
        <v>Ya</v>
      </c>
      <c r="AD47" s="7" t="s">
        <v>475</v>
      </c>
      <c r="AE47" s="7" t="s">
        <v>476</v>
      </c>
      <c r="AF47" s="7" t="str">
        <f t="shared" si="19"/>
        <v>Maksektomi</v>
      </c>
      <c r="AG47" s="8">
        <v>45072</v>
      </c>
      <c r="AH47" s="7" t="s">
        <v>32</v>
      </c>
      <c r="AI47" s="8">
        <v>45163</v>
      </c>
      <c r="AJ47" s="7" t="s">
        <v>477</v>
      </c>
      <c r="AK47" s="7" t="s">
        <v>452</v>
      </c>
      <c r="AL47" s="8">
        <v>45268</v>
      </c>
      <c r="AM47" s="7" t="s">
        <v>352</v>
      </c>
      <c r="AN47" s="8">
        <v>45349</v>
      </c>
      <c r="AO47" s="7" t="s">
        <v>478</v>
      </c>
      <c r="AP47" s="7">
        <v>25</v>
      </c>
      <c r="AQ47" s="8">
        <v>45401</v>
      </c>
      <c r="AR47" s="7" t="s">
        <v>479</v>
      </c>
      <c r="AS47" s="7" t="s">
        <v>480</v>
      </c>
      <c r="AT47" s="7" t="str">
        <f t="shared" si="20"/>
        <v>Tidak ada</v>
      </c>
      <c r="AU47" s="7" t="s">
        <v>481</v>
      </c>
      <c r="AV47" s="7" t="str">
        <f t="shared" si="21"/>
        <v>Tidak ada</v>
      </c>
      <c r="AW47" s="7" t="str">
        <f t="shared" si="22"/>
        <v>Efektif</v>
      </c>
      <c r="AX47" s="7" t="s">
        <v>482</v>
      </c>
    </row>
    <row r="48" spans="1:50" x14ac:dyDescent="0.35">
      <c r="A48" s="7">
        <v>47</v>
      </c>
      <c r="B48" s="7">
        <v>2028167</v>
      </c>
      <c r="C48" s="7" t="s">
        <v>483</v>
      </c>
      <c r="D48" s="21">
        <v>53</v>
      </c>
      <c r="E48" s="7" t="s">
        <v>484</v>
      </c>
      <c r="F48" s="7">
        <v>1.49</v>
      </c>
      <c r="G48" s="7" t="s">
        <v>68</v>
      </c>
      <c r="H48" s="7" t="s">
        <v>91</v>
      </c>
      <c r="I48" s="7" t="str">
        <f t="shared" si="0"/>
        <v>Ya</v>
      </c>
      <c r="J48" s="7" t="str">
        <f t="shared" si="1"/>
        <v>Tidak</v>
      </c>
      <c r="K48" s="7" t="str">
        <f t="shared" si="2"/>
        <v>Tidak</v>
      </c>
      <c r="L48" s="7" t="str">
        <f t="shared" si="3"/>
        <v>Tidak</v>
      </c>
      <c r="M48" s="7" t="str">
        <f t="shared" si="4"/>
        <v>Tidak</v>
      </c>
      <c r="N48" s="7" t="str">
        <f t="shared" si="5"/>
        <v>Tidak</v>
      </c>
      <c r="O48" s="7" t="str">
        <f t="shared" si="6"/>
        <v>Tidak</v>
      </c>
      <c r="P48" s="7" t="str">
        <f t="shared" si="7"/>
        <v>Tidak</v>
      </c>
      <c r="Q48" s="7" t="str">
        <f t="shared" si="8"/>
        <v>Tidak</v>
      </c>
      <c r="R48" s="7" t="str">
        <f t="shared" si="9"/>
        <v>Tidak</v>
      </c>
      <c r="S48" s="7" t="str">
        <f t="shared" si="10"/>
        <v>Tidak</v>
      </c>
      <c r="T48" s="7" t="str">
        <f t="shared" si="11"/>
        <v>Tidak</v>
      </c>
      <c r="U48" s="7" t="str">
        <f t="shared" si="12"/>
        <v>Tidak</v>
      </c>
      <c r="V48" s="7" t="str">
        <f t="shared" si="13"/>
        <v>Tidak</v>
      </c>
      <c r="W48" s="7" t="str">
        <f t="shared" si="14"/>
        <v>Tidak</v>
      </c>
      <c r="X48" s="7" t="str">
        <f t="shared" si="15"/>
        <v>Tidak</v>
      </c>
      <c r="Y48" s="8">
        <v>44830</v>
      </c>
      <c r="Z48" s="7" t="s">
        <v>485</v>
      </c>
      <c r="AA48" s="7">
        <f t="shared" si="16"/>
        <v>3</v>
      </c>
      <c r="AB48" s="7" t="str">
        <f t="shared" si="17"/>
        <v>Besar</v>
      </c>
      <c r="AC48" s="7" t="str">
        <f t="shared" si="18"/>
        <v>Tidak diketahui</v>
      </c>
      <c r="AD48" s="7" t="s">
        <v>486</v>
      </c>
      <c r="AE48" s="7" t="s">
        <v>57</v>
      </c>
      <c r="AF48" s="7" t="str">
        <f t="shared" si="19"/>
        <v>Maksektomi</v>
      </c>
      <c r="AG48" s="8">
        <v>44838</v>
      </c>
      <c r="AH48" s="7" t="s">
        <v>32</v>
      </c>
      <c r="AI48" s="8">
        <v>44875</v>
      </c>
      <c r="AJ48" s="7" t="s">
        <v>487</v>
      </c>
      <c r="AK48" s="7" t="s">
        <v>284</v>
      </c>
      <c r="AL48" s="8">
        <v>45030</v>
      </c>
      <c r="AM48" s="7" t="s">
        <v>352</v>
      </c>
      <c r="AN48" s="8">
        <v>45145</v>
      </c>
      <c r="AO48" s="7" t="s">
        <v>488</v>
      </c>
      <c r="AP48" s="7">
        <v>25</v>
      </c>
      <c r="AQ48" s="8">
        <v>45189</v>
      </c>
      <c r="AR48" s="7" t="s">
        <v>489</v>
      </c>
      <c r="AS48" s="7" t="s">
        <v>490</v>
      </c>
      <c r="AT48" s="7" t="str">
        <f t="shared" si="20"/>
        <v>Tidak ada</v>
      </c>
      <c r="AU48" s="7" t="s">
        <v>491</v>
      </c>
      <c r="AV48" s="7" t="str">
        <f t="shared" si="21"/>
        <v>Tidak ada</v>
      </c>
      <c r="AW48" s="7" t="str">
        <f t="shared" si="22"/>
        <v>Efektif</v>
      </c>
      <c r="AX48" s="7" t="s">
        <v>492</v>
      </c>
    </row>
    <row r="49" spans="1:50" x14ac:dyDescent="0.35">
      <c r="A49" s="7">
        <v>48</v>
      </c>
      <c r="B49" s="7">
        <v>2026281</v>
      </c>
      <c r="C49" s="7" t="s">
        <v>493</v>
      </c>
      <c r="D49" s="21">
        <v>53</v>
      </c>
      <c r="E49" s="7" t="s">
        <v>494</v>
      </c>
      <c r="F49" s="7">
        <v>1.67</v>
      </c>
      <c r="G49" s="7" t="s">
        <v>433</v>
      </c>
      <c r="H49" s="7"/>
      <c r="I49" s="7" t="str">
        <f t="shared" si="0"/>
        <v>Tidak</v>
      </c>
      <c r="J49" s="7" t="str">
        <f t="shared" si="1"/>
        <v>Tidak</v>
      </c>
      <c r="K49" s="7" t="str">
        <f t="shared" si="2"/>
        <v>Tidak</v>
      </c>
      <c r="L49" s="7" t="str">
        <f t="shared" si="3"/>
        <v>Tidak</v>
      </c>
      <c r="M49" s="7" t="str">
        <f t="shared" si="4"/>
        <v>Tidak</v>
      </c>
      <c r="N49" s="7" t="str">
        <f t="shared" si="5"/>
        <v>Tidak</v>
      </c>
      <c r="O49" s="7" t="str">
        <f t="shared" si="6"/>
        <v>Tidak</v>
      </c>
      <c r="P49" s="7" t="str">
        <f t="shared" si="7"/>
        <v>Tidak</v>
      </c>
      <c r="Q49" s="7" t="str">
        <f t="shared" si="8"/>
        <v>Tidak</v>
      </c>
      <c r="R49" s="7" t="str">
        <f t="shared" si="9"/>
        <v>Tidak</v>
      </c>
      <c r="S49" s="7" t="str">
        <f t="shared" si="10"/>
        <v>Tidak</v>
      </c>
      <c r="T49" s="7" t="str">
        <f t="shared" si="11"/>
        <v>Tidak</v>
      </c>
      <c r="U49" s="7" t="str">
        <f t="shared" si="12"/>
        <v>Tidak</v>
      </c>
      <c r="V49" s="7" t="str">
        <f t="shared" si="13"/>
        <v>Tidak</v>
      </c>
      <c r="W49" s="7" t="str">
        <f t="shared" si="14"/>
        <v>Tidak</v>
      </c>
      <c r="X49" s="7" t="str">
        <f t="shared" si="15"/>
        <v>Tidak</v>
      </c>
      <c r="Y49" s="8">
        <v>44816</v>
      </c>
      <c r="Z49" s="7" t="s">
        <v>423</v>
      </c>
      <c r="AA49" s="7">
        <f t="shared" si="16"/>
        <v>3</v>
      </c>
      <c r="AB49" s="7" t="str">
        <f t="shared" si="17"/>
        <v>Besar</v>
      </c>
      <c r="AC49" s="7" t="str">
        <f t="shared" si="18"/>
        <v>Ya</v>
      </c>
      <c r="AD49" s="7" t="s">
        <v>495</v>
      </c>
      <c r="AE49" s="7" t="s">
        <v>57</v>
      </c>
      <c r="AF49" s="7" t="str">
        <f t="shared" si="19"/>
        <v>Maksektomi</v>
      </c>
      <c r="AG49" s="8">
        <v>44972</v>
      </c>
      <c r="AH49" s="7" t="s">
        <v>32</v>
      </c>
      <c r="AI49" s="8">
        <v>45033</v>
      </c>
      <c r="AJ49" s="7" t="s">
        <v>496</v>
      </c>
      <c r="AK49" s="7" t="s">
        <v>139</v>
      </c>
      <c r="AL49" s="8">
        <v>45191</v>
      </c>
      <c r="AM49" s="7" t="s">
        <v>401</v>
      </c>
      <c r="AN49" s="8">
        <v>45250</v>
      </c>
      <c r="AO49" s="7" t="s">
        <v>488</v>
      </c>
      <c r="AP49" s="7">
        <v>25</v>
      </c>
      <c r="AQ49" s="8">
        <v>45282</v>
      </c>
      <c r="AR49" s="7" t="s">
        <v>497</v>
      </c>
      <c r="AS49" s="7" t="s">
        <v>498</v>
      </c>
      <c r="AT49" s="7" t="str">
        <f t="shared" si="20"/>
        <v>Tidak ada</v>
      </c>
      <c r="AU49" s="7" t="s">
        <v>499</v>
      </c>
      <c r="AV49" s="7" t="str">
        <f t="shared" si="21"/>
        <v>Tidak ada</v>
      </c>
      <c r="AW49" s="7" t="str">
        <f t="shared" si="22"/>
        <v>Efektif</v>
      </c>
      <c r="AX49" s="7"/>
    </row>
    <row r="50" spans="1:50" x14ac:dyDescent="0.35">
      <c r="A50" s="7">
        <v>49</v>
      </c>
      <c r="B50" s="7">
        <v>2048085</v>
      </c>
      <c r="C50" s="7" t="s">
        <v>500</v>
      </c>
      <c r="D50" s="21">
        <v>62</v>
      </c>
      <c r="E50" s="7" t="s">
        <v>501</v>
      </c>
      <c r="F50" s="7">
        <v>1.48</v>
      </c>
      <c r="G50" s="7" t="s">
        <v>43</v>
      </c>
      <c r="H50" s="7"/>
      <c r="I50" s="7" t="str">
        <f t="shared" si="0"/>
        <v>Tidak</v>
      </c>
      <c r="J50" s="7" t="str">
        <f t="shared" si="1"/>
        <v>Tidak</v>
      </c>
      <c r="K50" s="7" t="str">
        <f t="shared" si="2"/>
        <v>Tidak</v>
      </c>
      <c r="L50" s="7" t="str">
        <f t="shared" si="3"/>
        <v>Tidak</v>
      </c>
      <c r="M50" s="7" t="str">
        <f t="shared" si="4"/>
        <v>Tidak</v>
      </c>
      <c r="N50" s="7" t="str">
        <f t="shared" si="5"/>
        <v>Tidak</v>
      </c>
      <c r="O50" s="7" t="str">
        <f t="shared" si="6"/>
        <v>Tidak</v>
      </c>
      <c r="P50" s="7" t="str">
        <f t="shared" si="7"/>
        <v>Tidak</v>
      </c>
      <c r="Q50" s="7" t="str">
        <f t="shared" si="8"/>
        <v>Tidak</v>
      </c>
      <c r="R50" s="7" t="str">
        <f t="shared" si="9"/>
        <v>Tidak</v>
      </c>
      <c r="S50" s="7" t="str">
        <f t="shared" si="10"/>
        <v>Tidak</v>
      </c>
      <c r="T50" s="7" t="str">
        <f t="shared" si="11"/>
        <v>Tidak</v>
      </c>
      <c r="U50" s="7" t="str">
        <f t="shared" si="12"/>
        <v>Tidak</v>
      </c>
      <c r="V50" s="7" t="str">
        <f t="shared" si="13"/>
        <v>Tidak</v>
      </c>
      <c r="W50" s="7" t="str">
        <f t="shared" si="14"/>
        <v>Tidak</v>
      </c>
      <c r="X50" s="7" t="str">
        <f t="shared" si="15"/>
        <v>Tidak</v>
      </c>
      <c r="Y50" s="8">
        <v>44981</v>
      </c>
      <c r="Z50" s="7" t="s">
        <v>502</v>
      </c>
      <c r="AA50" s="7">
        <f t="shared" si="16"/>
        <v>3</v>
      </c>
      <c r="AB50" s="7" t="str">
        <f t="shared" si="17"/>
        <v>Besar</v>
      </c>
      <c r="AC50" s="7" t="str">
        <f t="shared" si="18"/>
        <v>Ya</v>
      </c>
      <c r="AD50" s="2" t="s">
        <v>503</v>
      </c>
      <c r="AE50" s="7" t="s">
        <v>31</v>
      </c>
      <c r="AF50" s="7" t="str">
        <f t="shared" si="19"/>
        <v>Maksektomi</v>
      </c>
      <c r="AG50" s="8">
        <v>44985</v>
      </c>
      <c r="AH50" s="7" t="s">
        <v>32</v>
      </c>
      <c r="AI50" s="8">
        <v>45169</v>
      </c>
      <c r="AJ50" s="7" t="s">
        <v>504</v>
      </c>
      <c r="AK50" s="7" t="s">
        <v>72</v>
      </c>
      <c r="AL50" s="8">
        <v>45163</v>
      </c>
      <c r="AM50" s="7" t="s">
        <v>352</v>
      </c>
      <c r="AN50" s="8">
        <v>45259</v>
      </c>
      <c r="AO50" s="7" t="s">
        <v>488</v>
      </c>
      <c r="AP50" s="7">
        <v>25</v>
      </c>
      <c r="AQ50" s="8">
        <v>45299</v>
      </c>
      <c r="AR50" s="7" t="s">
        <v>505</v>
      </c>
      <c r="AS50" s="7" t="s">
        <v>506</v>
      </c>
      <c r="AT50" s="7" t="str">
        <f t="shared" si="20"/>
        <v>Tidak ada</v>
      </c>
      <c r="AU50" s="7" t="s">
        <v>507</v>
      </c>
      <c r="AV50" s="7" t="str">
        <f t="shared" si="21"/>
        <v>Tidak ada</v>
      </c>
      <c r="AW50" s="7" t="str">
        <f t="shared" si="22"/>
        <v>Efektif</v>
      </c>
      <c r="AX50" s="7" t="s">
        <v>430</v>
      </c>
    </row>
    <row r="51" spans="1:50" x14ac:dyDescent="0.35">
      <c r="A51" s="7">
        <v>50</v>
      </c>
      <c r="B51" s="7">
        <v>1689400</v>
      </c>
      <c r="C51" s="7" t="s">
        <v>508</v>
      </c>
      <c r="D51" s="21">
        <v>57</v>
      </c>
      <c r="E51" s="7" t="s">
        <v>509</v>
      </c>
      <c r="F51" s="7">
        <v>1.77</v>
      </c>
      <c r="G51" s="7" t="s">
        <v>27</v>
      </c>
      <c r="H51" s="7"/>
      <c r="I51" s="7" t="str">
        <f t="shared" si="0"/>
        <v>Tidak</v>
      </c>
      <c r="J51" s="7" t="str">
        <f t="shared" si="1"/>
        <v>Tidak</v>
      </c>
      <c r="K51" s="7" t="str">
        <f t="shared" si="2"/>
        <v>Tidak</v>
      </c>
      <c r="L51" s="7" t="str">
        <f t="shared" si="3"/>
        <v>Tidak</v>
      </c>
      <c r="M51" s="7" t="str">
        <f t="shared" si="4"/>
        <v>Tidak</v>
      </c>
      <c r="N51" s="7" t="str">
        <f t="shared" si="5"/>
        <v>Tidak</v>
      </c>
      <c r="O51" s="7" t="str">
        <f t="shared" si="6"/>
        <v>Tidak</v>
      </c>
      <c r="P51" s="7" t="str">
        <f t="shared" si="7"/>
        <v>Tidak</v>
      </c>
      <c r="Q51" s="7" t="str">
        <f t="shared" si="8"/>
        <v>Tidak</v>
      </c>
      <c r="R51" s="7" t="str">
        <f t="shared" si="9"/>
        <v>Tidak</v>
      </c>
      <c r="S51" s="7" t="str">
        <f t="shared" si="10"/>
        <v>Tidak</v>
      </c>
      <c r="T51" s="7" t="str">
        <f t="shared" si="11"/>
        <v>Tidak</v>
      </c>
      <c r="U51" s="7" t="str">
        <f t="shared" si="12"/>
        <v>Tidak</v>
      </c>
      <c r="V51" s="7" t="str">
        <f t="shared" si="13"/>
        <v>Tidak</v>
      </c>
      <c r="W51" s="7" t="str">
        <f t="shared" si="14"/>
        <v>Tidak</v>
      </c>
      <c r="X51" s="7" t="str">
        <f t="shared" si="15"/>
        <v>Tidak</v>
      </c>
      <c r="Y51" s="8">
        <v>45049</v>
      </c>
      <c r="Z51" s="7" t="s">
        <v>474</v>
      </c>
      <c r="AA51" s="7">
        <f t="shared" si="16"/>
        <v>3</v>
      </c>
      <c r="AB51" s="7" t="str">
        <f t="shared" si="17"/>
        <v>Besar</v>
      </c>
      <c r="AC51" s="7" t="str">
        <f t="shared" si="18"/>
        <v>Ya</v>
      </c>
      <c r="AD51" s="2" t="s">
        <v>510</v>
      </c>
      <c r="AE51" s="7" t="s">
        <v>31</v>
      </c>
      <c r="AF51" s="7" t="str">
        <f t="shared" si="19"/>
        <v>Maksektomi</v>
      </c>
      <c r="AG51" s="8">
        <v>45139</v>
      </c>
      <c r="AH51" s="7" t="s">
        <v>32</v>
      </c>
      <c r="AI51" s="8">
        <v>45177</v>
      </c>
      <c r="AJ51" s="7" t="s">
        <v>511</v>
      </c>
      <c r="AK51" s="7" t="s">
        <v>452</v>
      </c>
      <c r="AL51" s="8">
        <v>45287</v>
      </c>
      <c r="AM51" s="7" t="s">
        <v>352</v>
      </c>
      <c r="AN51" s="8">
        <v>45357</v>
      </c>
      <c r="AO51" s="7" t="s">
        <v>488</v>
      </c>
      <c r="AP51" s="7">
        <v>25</v>
      </c>
      <c r="AQ51" s="8">
        <v>45404</v>
      </c>
      <c r="AR51" s="7" t="s">
        <v>275</v>
      </c>
      <c r="AS51" s="7" t="s">
        <v>512</v>
      </c>
      <c r="AT51" s="7" t="str">
        <f t="shared" si="20"/>
        <v>Tidak ada</v>
      </c>
      <c r="AU51" s="7" t="s">
        <v>513</v>
      </c>
      <c r="AV51" s="7" t="str">
        <f t="shared" si="21"/>
        <v>Tidak ada</v>
      </c>
      <c r="AW51" s="7" t="str">
        <f t="shared" si="22"/>
        <v>Efektif</v>
      </c>
      <c r="AX51" s="7" t="s">
        <v>430</v>
      </c>
    </row>
    <row r="52" spans="1:50" x14ac:dyDescent="0.35">
      <c r="A52" s="7">
        <v>51</v>
      </c>
      <c r="B52" s="7">
        <v>2049695</v>
      </c>
      <c r="C52" s="7" t="s">
        <v>440</v>
      </c>
      <c r="D52" s="21">
        <v>45</v>
      </c>
      <c r="E52" s="7" t="s">
        <v>514</v>
      </c>
      <c r="F52" s="7">
        <v>1.33</v>
      </c>
      <c r="G52" s="7" t="s">
        <v>433</v>
      </c>
      <c r="H52" s="7"/>
      <c r="I52" s="7" t="str">
        <f t="shared" si="0"/>
        <v>Tidak</v>
      </c>
      <c r="J52" s="7" t="str">
        <f t="shared" si="1"/>
        <v>Tidak</v>
      </c>
      <c r="K52" s="7" t="str">
        <f t="shared" si="2"/>
        <v>Tidak</v>
      </c>
      <c r="L52" s="7" t="str">
        <f t="shared" si="3"/>
        <v>Tidak</v>
      </c>
      <c r="M52" s="7" t="str">
        <f t="shared" si="4"/>
        <v>Tidak</v>
      </c>
      <c r="N52" s="7" t="str">
        <f t="shared" si="5"/>
        <v>Tidak</v>
      </c>
      <c r="O52" s="7" t="str">
        <f t="shared" si="6"/>
        <v>Tidak</v>
      </c>
      <c r="P52" s="7" t="str">
        <f t="shared" si="7"/>
        <v>Tidak</v>
      </c>
      <c r="Q52" s="7" t="str">
        <f t="shared" si="8"/>
        <v>Tidak</v>
      </c>
      <c r="R52" s="7" t="str">
        <f t="shared" si="9"/>
        <v>Tidak</v>
      </c>
      <c r="S52" s="7" t="str">
        <f t="shared" si="10"/>
        <v>Tidak</v>
      </c>
      <c r="T52" s="7" t="str">
        <f t="shared" si="11"/>
        <v>Tidak</v>
      </c>
      <c r="U52" s="7" t="str">
        <f t="shared" si="12"/>
        <v>Tidak</v>
      </c>
      <c r="V52" s="7" t="str">
        <f t="shared" si="13"/>
        <v>Tidak</v>
      </c>
      <c r="W52" s="7" t="str">
        <f t="shared" si="14"/>
        <v>Tidak</v>
      </c>
      <c r="X52" s="7" t="str">
        <f t="shared" si="15"/>
        <v>Tidak</v>
      </c>
      <c r="Y52" s="8">
        <v>44993</v>
      </c>
      <c r="Z52" s="7" t="s">
        <v>423</v>
      </c>
      <c r="AA52" s="7">
        <f t="shared" si="16"/>
        <v>3</v>
      </c>
      <c r="AB52" s="7" t="str">
        <f t="shared" si="17"/>
        <v>Besar</v>
      </c>
      <c r="AC52" s="7" t="str">
        <f t="shared" si="18"/>
        <v>Ya</v>
      </c>
      <c r="AD52" s="2" t="s">
        <v>515</v>
      </c>
      <c r="AE52" s="7" t="s">
        <v>57</v>
      </c>
      <c r="AF52" s="7" t="str">
        <f t="shared" si="19"/>
        <v>Maksektomi</v>
      </c>
      <c r="AG52" s="8">
        <v>45012</v>
      </c>
      <c r="AH52" s="7" t="s">
        <v>32</v>
      </c>
      <c r="AI52" s="8">
        <v>45177</v>
      </c>
      <c r="AJ52" s="7" t="s">
        <v>516</v>
      </c>
      <c r="AK52" s="7" t="s">
        <v>72</v>
      </c>
      <c r="AL52" s="8">
        <v>45174</v>
      </c>
      <c r="AM52" s="7" t="s">
        <v>517</v>
      </c>
      <c r="AN52" s="8">
        <v>45232</v>
      </c>
      <c r="AO52" s="7" t="s">
        <v>313</v>
      </c>
      <c r="AP52" s="7">
        <v>30</v>
      </c>
      <c r="AQ52" s="8">
        <v>45281</v>
      </c>
      <c r="AR52" s="7" t="s">
        <v>518</v>
      </c>
      <c r="AS52" s="7" t="s">
        <v>519</v>
      </c>
      <c r="AT52" s="7" t="str">
        <f t="shared" si="20"/>
        <v>Tidak ada</v>
      </c>
      <c r="AU52" s="7" t="s">
        <v>520</v>
      </c>
      <c r="AV52" s="7" t="str">
        <f t="shared" si="21"/>
        <v>Ada</v>
      </c>
      <c r="AW52" s="7" t="str">
        <f t="shared" si="22"/>
        <v>Tidak Efektif</v>
      </c>
      <c r="AX52" s="7"/>
    </row>
    <row r="53" spans="1:50" x14ac:dyDescent="0.35">
      <c r="A53" s="7">
        <v>52</v>
      </c>
      <c r="B53" s="2">
        <v>2051437</v>
      </c>
      <c r="C53" s="7" t="s">
        <v>521</v>
      </c>
      <c r="D53" s="21">
        <v>45</v>
      </c>
      <c r="E53" s="7" t="s">
        <v>522</v>
      </c>
      <c r="F53" s="7">
        <v>1.75</v>
      </c>
      <c r="G53" s="7" t="s">
        <v>433</v>
      </c>
      <c r="H53" s="7"/>
      <c r="I53" s="7" t="str">
        <f t="shared" si="0"/>
        <v>Tidak</v>
      </c>
      <c r="J53" s="7" t="str">
        <f t="shared" si="1"/>
        <v>Tidak</v>
      </c>
      <c r="K53" s="7" t="str">
        <f t="shared" si="2"/>
        <v>Tidak</v>
      </c>
      <c r="L53" s="7" t="str">
        <f t="shared" si="3"/>
        <v>Tidak</v>
      </c>
      <c r="M53" s="7" t="str">
        <f t="shared" si="4"/>
        <v>Tidak</v>
      </c>
      <c r="N53" s="7" t="str">
        <f t="shared" si="5"/>
        <v>Tidak</v>
      </c>
      <c r="O53" s="7" t="str">
        <f t="shared" si="6"/>
        <v>Tidak</v>
      </c>
      <c r="P53" s="7" t="str">
        <f t="shared" si="7"/>
        <v>Tidak</v>
      </c>
      <c r="Q53" s="7" t="str">
        <f t="shared" si="8"/>
        <v>Tidak</v>
      </c>
      <c r="R53" s="7" t="str">
        <f t="shared" si="9"/>
        <v>Tidak</v>
      </c>
      <c r="S53" s="7" t="str">
        <f t="shared" si="10"/>
        <v>Tidak</v>
      </c>
      <c r="T53" s="7" t="str">
        <f t="shared" si="11"/>
        <v>Tidak</v>
      </c>
      <c r="U53" s="7" t="str">
        <f t="shared" si="12"/>
        <v>Tidak</v>
      </c>
      <c r="V53" s="7" t="str">
        <f t="shared" si="13"/>
        <v>Tidak</v>
      </c>
      <c r="W53" s="7" t="str">
        <f t="shared" si="14"/>
        <v>Tidak</v>
      </c>
      <c r="X53" s="7" t="str">
        <f t="shared" si="15"/>
        <v>Tidak</v>
      </c>
      <c r="Y53" s="8">
        <v>45013</v>
      </c>
      <c r="Z53" s="7" t="s">
        <v>523</v>
      </c>
      <c r="AA53" s="7">
        <f t="shared" si="16"/>
        <v>2</v>
      </c>
      <c r="AB53" s="7" t="str">
        <f t="shared" si="17"/>
        <v>Sedang</v>
      </c>
      <c r="AC53" s="7" t="str">
        <f t="shared" si="18"/>
        <v>Tidak</v>
      </c>
      <c r="AD53" s="2" t="s">
        <v>524</v>
      </c>
      <c r="AE53" s="7" t="s">
        <v>57</v>
      </c>
      <c r="AF53" s="7" t="str">
        <f t="shared" si="19"/>
        <v>Maksektomi</v>
      </c>
      <c r="AG53" s="8">
        <v>44958</v>
      </c>
      <c r="AH53" s="7" t="s">
        <v>32</v>
      </c>
      <c r="AI53" s="8">
        <v>45001</v>
      </c>
      <c r="AJ53" s="7" t="s">
        <v>525</v>
      </c>
      <c r="AK53" s="7" t="s">
        <v>284</v>
      </c>
      <c r="AL53" s="8">
        <v>45162</v>
      </c>
      <c r="AM53" s="7" t="s">
        <v>526</v>
      </c>
      <c r="AN53" s="8">
        <v>45238</v>
      </c>
      <c r="AO53" s="7" t="s">
        <v>313</v>
      </c>
      <c r="AP53" s="7">
        <v>30</v>
      </c>
      <c r="AQ53" s="8">
        <v>45280</v>
      </c>
      <c r="AR53" s="7" t="s">
        <v>527</v>
      </c>
      <c r="AS53" s="7" t="s">
        <v>528</v>
      </c>
      <c r="AT53" s="7" t="str">
        <f t="shared" si="20"/>
        <v>Tidak ada</v>
      </c>
      <c r="AU53" s="7" t="s">
        <v>529</v>
      </c>
      <c r="AV53" s="7" t="str">
        <f t="shared" si="21"/>
        <v>Tidak ada</v>
      </c>
      <c r="AW53" s="7" t="str">
        <f t="shared" si="22"/>
        <v>Efektif</v>
      </c>
      <c r="AX53" s="7"/>
    </row>
    <row r="54" spans="1:50" x14ac:dyDescent="0.35">
      <c r="A54" s="7">
        <v>53</v>
      </c>
      <c r="B54" s="7">
        <v>2050992</v>
      </c>
      <c r="C54" s="7" t="s">
        <v>530</v>
      </c>
      <c r="D54" s="21">
        <v>64</v>
      </c>
      <c r="E54" s="7" t="s">
        <v>531</v>
      </c>
      <c r="F54" s="7">
        <v>0.96</v>
      </c>
      <c r="G54" s="7" t="s">
        <v>433</v>
      </c>
      <c r="H54" s="7"/>
      <c r="I54" s="7" t="str">
        <f t="shared" si="0"/>
        <v>Tidak</v>
      </c>
      <c r="J54" s="7" t="str">
        <f t="shared" si="1"/>
        <v>Tidak</v>
      </c>
      <c r="K54" s="7" t="str">
        <f t="shared" si="2"/>
        <v>Tidak</v>
      </c>
      <c r="L54" s="7" t="str">
        <f t="shared" si="3"/>
        <v>Tidak</v>
      </c>
      <c r="M54" s="7" t="str">
        <f t="shared" si="4"/>
        <v>Tidak</v>
      </c>
      <c r="N54" s="7" t="str">
        <f t="shared" si="5"/>
        <v>Tidak</v>
      </c>
      <c r="O54" s="7" t="str">
        <f t="shared" si="6"/>
        <v>Tidak</v>
      </c>
      <c r="P54" s="7" t="str">
        <f t="shared" si="7"/>
        <v>Tidak</v>
      </c>
      <c r="Q54" s="7" t="str">
        <f t="shared" si="8"/>
        <v>Tidak</v>
      </c>
      <c r="R54" s="7" t="str">
        <f t="shared" si="9"/>
        <v>Tidak</v>
      </c>
      <c r="S54" s="7" t="str">
        <f t="shared" si="10"/>
        <v>Tidak</v>
      </c>
      <c r="T54" s="7" t="str">
        <f t="shared" si="11"/>
        <v>Tidak</v>
      </c>
      <c r="U54" s="7" t="str">
        <f t="shared" si="12"/>
        <v>Tidak</v>
      </c>
      <c r="V54" s="7" t="str">
        <f t="shared" si="13"/>
        <v>Tidak</v>
      </c>
      <c r="W54" s="7" t="str">
        <f t="shared" si="14"/>
        <v>Tidak</v>
      </c>
      <c r="X54" s="7" t="str">
        <f t="shared" si="15"/>
        <v>Tidak</v>
      </c>
      <c r="Y54" s="8">
        <v>45001</v>
      </c>
      <c r="Z54" s="7" t="s">
        <v>184</v>
      </c>
      <c r="AA54" s="7">
        <f t="shared" si="16"/>
        <v>3</v>
      </c>
      <c r="AB54" s="7" t="str">
        <f t="shared" si="17"/>
        <v>Besar</v>
      </c>
      <c r="AC54" s="7" t="str">
        <f t="shared" si="18"/>
        <v>Tidak</v>
      </c>
      <c r="AD54" s="2" t="s">
        <v>532</v>
      </c>
      <c r="AE54" s="7" t="s">
        <v>57</v>
      </c>
      <c r="AF54" s="7" t="str">
        <f t="shared" si="19"/>
        <v>Maksektomi</v>
      </c>
      <c r="AG54" s="8">
        <v>44958</v>
      </c>
      <c r="AH54" s="7" t="s">
        <v>32</v>
      </c>
      <c r="AI54" s="8">
        <v>45112</v>
      </c>
      <c r="AJ54" s="7" t="s">
        <v>533</v>
      </c>
      <c r="AK54" s="7" t="s">
        <v>72</v>
      </c>
      <c r="AL54" s="8">
        <v>45217</v>
      </c>
      <c r="AM54" s="7" t="s">
        <v>526</v>
      </c>
      <c r="AN54" s="8">
        <v>45272</v>
      </c>
      <c r="AO54" s="7" t="s">
        <v>488</v>
      </c>
      <c r="AP54" s="7">
        <v>25</v>
      </c>
      <c r="AQ54" s="8">
        <v>45322</v>
      </c>
      <c r="AR54" s="7" t="s">
        <v>534</v>
      </c>
      <c r="AS54" s="7" t="s">
        <v>535</v>
      </c>
      <c r="AT54" s="7" t="str">
        <f t="shared" si="20"/>
        <v>Tidak ada</v>
      </c>
      <c r="AU54" s="7" t="s">
        <v>536</v>
      </c>
      <c r="AV54" s="7" t="str">
        <f t="shared" si="21"/>
        <v>Tidak ada</v>
      </c>
      <c r="AW54" s="7" t="str">
        <f t="shared" si="22"/>
        <v>Efektif</v>
      </c>
      <c r="AX54" s="7" t="s">
        <v>537</v>
      </c>
    </row>
    <row r="55" spans="1:50" x14ac:dyDescent="0.35">
      <c r="A55" s="7">
        <v>54</v>
      </c>
      <c r="B55" s="7">
        <v>2035321</v>
      </c>
      <c r="C55" s="7" t="s">
        <v>538</v>
      </c>
      <c r="D55" s="21">
        <v>46</v>
      </c>
      <c r="E55" s="7" t="s">
        <v>449</v>
      </c>
      <c r="F55" s="7">
        <v>1.44</v>
      </c>
      <c r="G55" s="7" t="s">
        <v>43</v>
      </c>
      <c r="H55" s="7"/>
      <c r="I55" s="7" t="str">
        <f t="shared" si="0"/>
        <v>Tidak</v>
      </c>
      <c r="J55" s="7" t="str">
        <f t="shared" si="1"/>
        <v>Tidak</v>
      </c>
      <c r="K55" s="7" t="str">
        <f t="shared" si="2"/>
        <v>Tidak</v>
      </c>
      <c r="L55" s="7" t="str">
        <f t="shared" si="3"/>
        <v>Tidak</v>
      </c>
      <c r="M55" s="7" t="str">
        <f t="shared" si="4"/>
        <v>Tidak</v>
      </c>
      <c r="N55" s="7" t="str">
        <f t="shared" si="5"/>
        <v>Tidak</v>
      </c>
      <c r="O55" s="7" t="str">
        <f t="shared" si="6"/>
        <v>Tidak</v>
      </c>
      <c r="P55" s="7" t="str">
        <f t="shared" si="7"/>
        <v>Tidak</v>
      </c>
      <c r="Q55" s="7" t="str">
        <f t="shared" si="8"/>
        <v>Tidak</v>
      </c>
      <c r="R55" s="7" t="str">
        <f t="shared" si="9"/>
        <v>Tidak</v>
      </c>
      <c r="S55" s="7" t="str">
        <f t="shared" si="10"/>
        <v>Tidak</v>
      </c>
      <c r="T55" s="7" t="str">
        <f t="shared" si="11"/>
        <v>Tidak</v>
      </c>
      <c r="U55" s="7" t="str">
        <f t="shared" si="12"/>
        <v>Tidak</v>
      </c>
      <c r="V55" s="7" t="str">
        <f t="shared" si="13"/>
        <v>Tidak</v>
      </c>
      <c r="W55" s="7" t="str">
        <f t="shared" si="14"/>
        <v>Tidak</v>
      </c>
      <c r="X55" s="7" t="str">
        <f t="shared" si="15"/>
        <v>Tidak</v>
      </c>
      <c r="Y55" s="7">
        <v>44886</v>
      </c>
      <c r="Z55" s="7" t="s">
        <v>184</v>
      </c>
      <c r="AA55" s="7">
        <f t="shared" si="16"/>
        <v>3</v>
      </c>
      <c r="AB55" s="7" t="str">
        <f t="shared" si="17"/>
        <v>Besar</v>
      </c>
      <c r="AC55" s="7" t="str">
        <f t="shared" si="18"/>
        <v>Tidak</v>
      </c>
      <c r="AD55" s="8" t="s">
        <v>539</v>
      </c>
      <c r="AE55" s="7" t="s">
        <v>31</v>
      </c>
      <c r="AF55" s="7" t="str">
        <f t="shared" si="19"/>
        <v>Maksektomi</v>
      </c>
      <c r="AG55" s="2">
        <v>44895</v>
      </c>
      <c r="AH55" s="7" t="s">
        <v>32</v>
      </c>
      <c r="AI55" s="8">
        <v>44924</v>
      </c>
      <c r="AJ55" s="7" t="s">
        <v>540</v>
      </c>
      <c r="AK55" s="8" t="s">
        <v>284</v>
      </c>
      <c r="AL55" s="7">
        <v>45089</v>
      </c>
      <c r="AM55" s="7" t="s">
        <v>541</v>
      </c>
      <c r="AN55" s="8">
        <v>45279</v>
      </c>
      <c r="AO55" s="7" t="s">
        <v>488</v>
      </c>
      <c r="AP55" s="23">
        <v>25</v>
      </c>
      <c r="AQ55" s="7">
        <v>45322</v>
      </c>
      <c r="AR55" s="7" t="s">
        <v>542</v>
      </c>
      <c r="AS55" s="8" t="s">
        <v>543</v>
      </c>
      <c r="AT55" s="7" t="str">
        <f t="shared" si="20"/>
        <v>Tidak ada</v>
      </c>
      <c r="AU55" s="7" t="s">
        <v>544</v>
      </c>
      <c r="AV55" s="7" t="str">
        <f t="shared" si="21"/>
        <v>Tidak ada</v>
      </c>
      <c r="AW55" s="7" t="str">
        <f t="shared" si="22"/>
        <v>Efektif</v>
      </c>
      <c r="AX55" s="7"/>
    </row>
    <row r="56" spans="1:50" ht="15.5" x14ac:dyDescent="0.35">
      <c r="A56" s="7">
        <v>55</v>
      </c>
      <c r="B56" s="7">
        <v>2044470</v>
      </c>
      <c r="C56" s="7" t="s">
        <v>545</v>
      </c>
      <c r="D56" s="21">
        <v>41</v>
      </c>
      <c r="E56" s="7" t="s">
        <v>546</v>
      </c>
      <c r="F56" s="7">
        <v>1.99</v>
      </c>
      <c r="G56" s="14" t="s">
        <v>68</v>
      </c>
      <c r="H56" s="7"/>
      <c r="I56" s="7" t="str">
        <f t="shared" si="0"/>
        <v>Tidak</v>
      </c>
      <c r="J56" s="7" t="str">
        <f t="shared" si="1"/>
        <v>Tidak</v>
      </c>
      <c r="K56" s="7" t="str">
        <f t="shared" si="2"/>
        <v>Tidak</v>
      </c>
      <c r="L56" s="7" t="str">
        <f t="shared" si="3"/>
        <v>Tidak</v>
      </c>
      <c r="M56" s="7" t="str">
        <f t="shared" si="4"/>
        <v>Tidak</v>
      </c>
      <c r="N56" s="7" t="str">
        <f t="shared" si="5"/>
        <v>Tidak</v>
      </c>
      <c r="O56" s="7" t="str">
        <f t="shared" si="6"/>
        <v>Tidak</v>
      </c>
      <c r="P56" s="7" t="str">
        <f t="shared" si="7"/>
        <v>Tidak</v>
      </c>
      <c r="Q56" s="7" t="str">
        <f t="shared" si="8"/>
        <v>Tidak</v>
      </c>
      <c r="R56" s="7" t="str">
        <f t="shared" si="9"/>
        <v>Tidak</v>
      </c>
      <c r="S56" s="7" t="str">
        <f t="shared" si="10"/>
        <v>Tidak</v>
      </c>
      <c r="T56" s="7" t="str">
        <f t="shared" si="11"/>
        <v>Tidak</v>
      </c>
      <c r="U56" s="7" t="str">
        <f t="shared" si="12"/>
        <v>Tidak</v>
      </c>
      <c r="V56" s="7" t="str">
        <f t="shared" si="13"/>
        <v>Tidak</v>
      </c>
      <c r="W56" s="7" t="str">
        <f t="shared" si="14"/>
        <v>Tidak</v>
      </c>
      <c r="X56" s="7" t="str">
        <f t="shared" si="15"/>
        <v>Tidak</v>
      </c>
      <c r="Y56" s="8">
        <v>44953</v>
      </c>
      <c r="Z56" s="14" t="s">
        <v>474</v>
      </c>
      <c r="AA56" s="7">
        <f t="shared" si="16"/>
        <v>3</v>
      </c>
      <c r="AB56" s="7" t="str">
        <f t="shared" si="17"/>
        <v>Besar</v>
      </c>
      <c r="AC56" s="7" t="str">
        <f t="shared" si="18"/>
        <v>Ya</v>
      </c>
      <c r="AD56" s="2" t="s">
        <v>547</v>
      </c>
      <c r="AE56" s="7" t="s">
        <v>57</v>
      </c>
      <c r="AF56" s="7" t="str">
        <f t="shared" si="19"/>
        <v>Maksektomi</v>
      </c>
      <c r="AG56" s="8">
        <v>44994</v>
      </c>
      <c r="AH56" s="7" t="s">
        <v>32</v>
      </c>
      <c r="AI56" s="15">
        <v>45042</v>
      </c>
      <c r="AJ56" s="7" t="s">
        <v>548</v>
      </c>
      <c r="AK56" s="7" t="s">
        <v>72</v>
      </c>
      <c r="AL56" s="8">
        <v>45148</v>
      </c>
      <c r="AM56" s="7" t="s">
        <v>352</v>
      </c>
      <c r="AN56" s="8">
        <v>45211</v>
      </c>
      <c r="AO56" s="7" t="s">
        <v>549</v>
      </c>
      <c r="AP56" s="7">
        <v>60</v>
      </c>
      <c r="AQ56" s="8">
        <v>45252</v>
      </c>
      <c r="AR56" s="7" t="s">
        <v>550</v>
      </c>
      <c r="AS56" s="7" t="s">
        <v>551</v>
      </c>
      <c r="AT56" s="7" t="str">
        <f t="shared" si="20"/>
        <v>Tidak ada</v>
      </c>
      <c r="AU56" s="7" t="s">
        <v>552</v>
      </c>
      <c r="AV56" s="7" t="str">
        <f t="shared" si="21"/>
        <v>Tidak ada</v>
      </c>
      <c r="AW56" s="7" t="str">
        <f t="shared" si="22"/>
        <v>Efektif</v>
      </c>
      <c r="AX56" s="7"/>
    </row>
    <row r="57" spans="1:50" x14ac:dyDescent="0.35">
      <c r="A57" s="7">
        <v>1</v>
      </c>
      <c r="B57" s="7">
        <v>2033746</v>
      </c>
      <c r="C57" s="7" t="s">
        <v>553</v>
      </c>
      <c r="D57" s="21">
        <v>58</v>
      </c>
      <c r="E57" s="7" t="s">
        <v>554</v>
      </c>
      <c r="F57" s="7">
        <v>1.81</v>
      </c>
      <c r="G57" s="7" t="s">
        <v>555</v>
      </c>
      <c r="H57" s="7" t="s">
        <v>556</v>
      </c>
      <c r="I57" s="7" t="str">
        <f t="shared" si="0"/>
        <v>Tidak</v>
      </c>
      <c r="J57" s="7" t="str">
        <f t="shared" si="1"/>
        <v>Tidak</v>
      </c>
      <c r="K57" s="7" t="str">
        <f t="shared" si="2"/>
        <v>Tidak</v>
      </c>
      <c r="L57" s="7" t="str">
        <f t="shared" si="3"/>
        <v>Ya</v>
      </c>
      <c r="M57" s="7" t="str">
        <f t="shared" si="4"/>
        <v>Tidak</v>
      </c>
      <c r="N57" s="7" t="str">
        <f t="shared" si="5"/>
        <v>Tidak</v>
      </c>
      <c r="O57" s="7" t="str">
        <f t="shared" si="6"/>
        <v>Tidak</v>
      </c>
      <c r="P57" s="7" t="str">
        <f t="shared" si="7"/>
        <v>Tidak</v>
      </c>
      <c r="Q57" s="7" t="str">
        <f t="shared" si="8"/>
        <v>Tidak</v>
      </c>
      <c r="R57" s="7" t="str">
        <f t="shared" si="9"/>
        <v>Tidak</v>
      </c>
      <c r="S57" s="7" t="str">
        <f t="shared" si="10"/>
        <v>Tidak</v>
      </c>
      <c r="T57" s="7" t="str">
        <f t="shared" si="11"/>
        <v>Tidak</v>
      </c>
      <c r="U57" s="7" t="str">
        <f t="shared" si="12"/>
        <v>Tidak</v>
      </c>
      <c r="V57" s="7" t="str">
        <f t="shared" si="13"/>
        <v>Tidak</v>
      </c>
      <c r="W57" s="7" t="str">
        <f t="shared" si="14"/>
        <v>Tidak</v>
      </c>
      <c r="X57" s="7" t="str">
        <f t="shared" si="15"/>
        <v>Tidak</v>
      </c>
      <c r="Y57" s="8">
        <v>45603</v>
      </c>
      <c r="Z57" s="7" t="s">
        <v>557</v>
      </c>
      <c r="AA57" s="7">
        <f t="shared" si="16"/>
        <v>3</v>
      </c>
      <c r="AB57" s="7" t="str">
        <f t="shared" si="17"/>
        <v>Menjalar ke kulit/dinding dada</v>
      </c>
      <c r="AC57" s="7" t="str">
        <f t="shared" si="18"/>
        <v>Ya</v>
      </c>
      <c r="AD57" s="7" t="s">
        <v>558</v>
      </c>
      <c r="AE57" s="7" t="s">
        <v>31</v>
      </c>
      <c r="AF57" s="7" t="str">
        <f t="shared" si="19"/>
        <v>Maksektomi</v>
      </c>
      <c r="AG57" s="8">
        <v>45089</v>
      </c>
      <c r="AH57" s="7" t="s">
        <v>559</v>
      </c>
      <c r="AI57" s="8">
        <v>45620</v>
      </c>
      <c r="AJ57" s="7" t="s">
        <v>560</v>
      </c>
      <c r="AK57" s="7" t="s">
        <v>561</v>
      </c>
      <c r="AL57" s="8">
        <v>45056</v>
      </c>
      <c r="AM57" s="7" t="s">
        <v>562</v>
      </c>
      <c r="AN57" s="12">
        <v>45187</v>
      </c>
      <c r="AO57" s="7" t="s">
        <v>295</v>
      </c>
      <c r="AP57" s="7">
        <v>25</v>
      </c>
      <c r="AQ57" s="8">
        <v>45223</v>
      </c>
      <c r="AR57" s="7" t="s">
        <v>563</v>
      </c>
      <c r="AS57" s="7" t="s">
        <v>564</v>
      </c>
      <c r="AT57" s="7" t="str">
        <f t="shared" si="20"/>
        <v>Tidak ada</v>
      </c>
      <c r="AU57" s="7" t="s">
        <v>565</v>
      </c>
      <c r="AV57" s="7" t="str">
        <f t="shared" si="21"/>
        <v>Tidak ada</v>
      </c>
      <c r="AW57" s="7" t="str">
        <f t="shared" si="22"/>
        <v>Efektif</v>
      </c>
      <c r="AX57" s="7" t="s">
        <v>492</v>
      </c>
    </row>
    <row r="58" spans="1:50" x14ac:dyDescent="0.35">
      <c r="A58" s="7">
        <v>2</v>
      </c>
      <c r="B58" s="7">
        <v>2012482</v>
      </c>
      <c r="C58" s="7" t="s">
        <v>566</v>
      </c>
      <c r="D58" s="21">
        <v>46</v>
      </c>
      <c r="E58" s="7" t="s">
        <v>567</v>
      </c>
      <c r="F58" s="7">
        <v>1.46</v>
      </c>
      <c r="G58" s="7" t="s">
        <v>555</v>
      </c>
      <c r="H58" s="7" t="s">
        <v>568</v>
      </c>
      <c r="I58" s="7" t="str">
        <f t="shared" si="0"/>
        <v>Tidak</v>
      </c>
      <c r="J58" s="7" t="str">
        <f t="shared" si="1"/>
        <v>Tidak</v>
      </c>
      <c r="K58" s="7" t="str">
        <f t="shared" si="2"/>
        <v>Tidak</v>
      </c>
      <c r="L58" s="7" t="str">
        <f t="shared" si="3"/>
        <v>Tidak</v>
      </c>
      <c r="M58" s="7" t="str">
        <f t="shared" si="4"/>
        <v>Tidak</v>
      </c>
      <c r="N58" s="7" t="str">
        <f t="shared" si="5"/>
        <v>Tidak</v>
      </c>
      <c r="O58" s="7" t="str">
        <f t="shared" si="6"/>
        <v>Tidak</v>
      </c>
      <c r="P58" s="7" t="str">
        <f t="shared" si="7"/>
        <v>Ya</v>
      </c>
      <c r="Q58" s="7" t="str">
        <f t="shared" si="8"/>
        <v>Tidak</v>
      </c>
      <c r="R58" s="7" t="str">
        <f t="shared" si="9"/>
        <v>Tidak</v>
      </c>
      <c r="S58" s="7" t="str">
        <f t="shared" si="10"/>
        <v>Tidak</v>
      </c>
      <c r="T58" s="7" t="str">
        <f t="shared" si="11"/>
        <v>Tidak</v>
      </c>
      <c r="U58" s="7" t="str">
        <f t="shared" si="12"/>
        <v>Tidak</v>
      </c>
      <c r="V58" s="7" t="str">
        <f t="shared" si="13"/>
        <v>Tidak</v>
      </c>
      <c r="W58" s="7" t="str">
        <f t="shared" si="14"/>
        <v>Tidak</v>
      </c>
      <c r="X58" s="7" t="str">
        <f t="shared" si="15"/>
        <v>Tidak</v>
      </c>
      <c r="Y58" s="8">
        <v>44704</v>
      </c>
      <c r="Z58" s="7" t="s">
        <v>45</v>
      </c>
      <c r="AA58" s="7">
        <f t="shared" si="16"/>
        <v>3</v>
      </c>
      <c r="AB58" s="7" t="str">
        <f t="shared" si="17"/>
        <v>Besar</v>
      </c>
      <c r="AC58" s="7" t="str">
        <f t="shared" si="18"/>
        <v>Ya</v>
      </c>
      <c r="AD58" s="7" t="s">
        <v>569</v>
      </c>
      <c r="AE58" s="7" t="s">
        <v>31</v>
      </c>
      <c r="AF58" s="7" t="str">
        <f t="shared" si="19"/>
        <v>Maksektomi</v>
      </c>
      <c r="AG58" s="8">
        <v>44931</v>
      </c>
      <c r="AH58" s="7" t="s">
        <v>559</v>
      </c>
      <c r="AI58" s="8">
        <v>44721</v>
      </c>
      <c r="AJ58" s="7" t="s">
        <v>570</v>
      </c>
      <c r="AK58" s="7" t="s">
        <v>59</v>
      </c>
      <c r="AL58" s="8">
        <v>44893</v>
      </c>
      <c r="AM58" s="7" t="s">
        <v>571</v>
      </c>
      <c r="AN58" s="8">
        <v>45028</v>
      </c>
      <c r="AO58" s="7" t="s">
        <v>295</v>
      </c>
      <c r="AP58" s="7">
        <v>25</v>
      </c>
      <c r="AQ58" s="8">
        <v>45083</v>
      </c>
      <c r="AR58" s="7" t="s">
        <v>275</v>
      </c>
      <c r="AS58" s="7" t="s">
        <v>572</v>
      </c>
      <c r="AT58" s="7" t="str">
        <f t="shared" si="20"/>
        <v>Ada</v>
      </c>
      <c r="AU58" s="7" t="s">
        <v>921</v>
      </c>
      <c r="AV58" s="7" t="str">
        <f t="shared" si="21"/>
        <v>Tidak ada</v>
      </c>
      <c r="AW58" s="7" t="str">
        <f t="shared" si="22"/>
        <v>Tidak Efektif</v>
      </c>
      <c r="AX58" s="7" t="s">
        <v>573</v>
      </c>
    </row>
    <row r="59" spans="1:50" x14ac:dyDescent="0.35">
      <c r="A59" s="7">
        <v>3</v>
      </c>
      <c r="B59" s="7">
        <v>2052318</v>
      </c>
      <c r="C59" s="7" t="s">
        <v>574</v>
      </c>
      <c r="D59" s="21">
        <v>55</v>
      </c>
      <c r="E59" s="7" t="s">
        <v>575</v>
      </c>
      <c r="F59" s="7">
        <v>1.79</v>
      </c>
      <c r="G59" s="7" t="s">
        <v>576</v>
      </c>
      <c r="H59" s="7"/>
      <c r="I59" s="7" t="str">
        <f t="shared" si="0"/>
        <v>Tidak</v>
      </c>
      <c r="J59" s="7" t="str">
        <f t="shared" si="1"/>
        <v>Tidak</v>
      </c>
      <c r="K59" s="7" t="str">
        <f t="shared" si="2"/>
        <v>Tidak</v>
      </c>
      <c r="L59" s="7" t="str">
        <f t="shared" si="3"/>
        <v>Tidak</v>
      </c>
      <c r="M59" s="7" t="str">
        <f t="shared" si="4"/>
        <v>Tidak</v>
      </c>
      <c r="N59" s="7" t="str">
        <f t="shared" si="5"/>
        <v>Tidak</v>
      </c>
      <c r="O59" s="7" t="str">
        <f t="shared" si="6"/>
        <v>Tidak</v>
      </c>
      <c r="P59" s="7" t="str">
        <f t="shared" si="7"/>
        <v>Tidak</v>
      </c>
      <c r="Q59" s="7" t="str">
        <f t="shared" si="8"/>
        <v>Tidak</v>
      </c>
      <c r="R59" s="7" t="str">
        <f t="shared" si="9"/>
        <v>Tidak</v>
      </c>
      <c r="S59" s="7" t="str">
        <f t="shared" si="10"/>
        <v>Tidak</v>
      </c>
      <c r="T59" s="7" t="str">
        <f t="shared" si="11"/>
        <v>Tidak</v>
      </c>
      <c r="U59" s="7" t="str">
        <f t="shared" si="12"/>
        <v>Tidak</v>
      </c>
      <c r="V59" s="7" t="str">
        <f t="shared" si="13"/>
        <v>Tidak</v>
      </c>
      <c r="W59" s="7" t="str">
        <f t="shared" si="14"/>
        <v>Tidak</v>
      </c>
      <c r="X59" s="7" t="str">
        <f t="shared" si="15"/>
        <v>Tidak</v>
      </c>
      <c r="Y59" s="8">
        <v>45013</v>
      </c>
      <c r="Z59" s="7" t="s">
        <v>371</v>
      </c>
      <c r="AA59" s="7">
        <f t="shared" si="16"/>
        <v>2</v>
      </c>
      <c r="AB59" s="7" t="str">
        <f t="shared" si="17"/>
        <v>Sedang</v>
      </c>
      <c r="AC59" s="7" t="str">
        <f t="shared" si="18"/>
        <v>Tidak</v>
      </c>
      <c r="AD59" s="7" t="s">
        <v>577</v>
      </c>
      <c r="AE59" s="7" t="s">
        <v>31</v>
      </c>
      <c r="AF59" s="7" t="str">
        <f t="shared" si="19"/>
        <v>Maksektomi</v>
      </c>
      <c r="AG59" s="8">
        <v>45175</v>
      </c>
      <c r="AH59" s="7" t="s">
        <v>559</v>
      </c>
      <c r="AI59" s="8">
        <v>45049</v>
      </c>
      <c r="AJ59" s="7" t="s">
        <v>578</v>
      </c>
      <c r="AK59" s="7" t="s">
        <v>72</v>
      </c>
      <c r="AL59" s="8">
        <v>45156</v>
      </c>
      <c r="AM59" s="7" t="s">
        <v>579</v>
      </c>
      <c r="AN59" s="8">
        <v>45225</v>
      </c>
      <c r="AO59" s="7" t="s">
        <v>295</v>
      </c>
      <c r="AP59" s="7">
        <v>25</v>
      </c>
      <c r="AQ59" s="8">
        <v>45268</v>
      </c>
      <c r="AR59" s="7" t="s">
        <v>580</v>
      </c>
      <c r="AS59" s="7" t="s">
        <v>581</v>
      </c>
      <c r="AT59" s="7" t="str">
        <f t="shared" si="20"/>
        <v>Tidak ada</v>
      </c>
      <c r="AU59" s="7" t="s">
        <v>582</v>
      </c>
      <c r="AV59" s="7" t="str">
        <f t="shared" si="21"/>
        <v>Tidak ada</v>
      </c>
      <c r="AW59" s="7" t="str">
        <f t="shared" si="22"/>
        <v>Efektif</v>
      </c>
      <c r="AX59" s="7" t="s">
        <v>492</v>
      </c>
    </row>
    <row r="60" spans="1:50" x14ac:dyDescent="0.35">
      <c r="A60" s="7">
        <v>4</v>
      </c>
      <c r="B60" s="7">
        <v>2021590</v>
      </c>
      <c r="C60" s="7" t="s">
        <v>583</v>
      </c>
      <c r="D60" s="21">
        <v>66</v>
      </c>
      <c r="E60" s="7" t="s">
        <v>584</v>
      </c>
      <c r="F60" s="7">
        <v>1.62</v>
      </c>
      <c r="G60" s="7" t="s">
        <v>576</v>
      </c>
      <c r="H60" s="7" t="s">
        <v>585</v>
      </c>
      <c r="I60" s="7" t="str">
        <f t="shared" si="0"/>
        <v>Ya</v>
      </c>
      <c r="J60" s="7" t="str">
        <f t="shared" si="1"/>
        <v>Tidak</v>
      </c>
      <c r="K60" s="7" t="str">
        <f t="shared" si="2"/>
        <v>Ya</v>
      </c>
      <c r="L60" s="7" t="str">
        <f t="shared" si="3"/>
        <v>Tidak</v>
      </c>
      <c r="M60" s="7" t="str">
        <f t="shared" si="4"/>
        <v>Tidak</v>
      </c>
      <c r="N60" s="7" t="str">
        <f t="shared" si="5"/>
        <v>Tidak</v>
      </c>
      <c r="O60" s="7" t="str">
        <f t="shared" si="6"/>
        <v>Tidak</v>
      </c>
      <c r="P60" s="7" t="str">
        <f t="shared" si="7"/>
        <v>Tidak</v>
      </c>
      <c r="Q60" s="7" t="str">
        <f t="shared" si="8"/>
        <v>Tidak</v>
      </c>
      <c r="R60" s="7" t="str">
        <f t="shared" si="9"/>
        <v>Tidak</v>
      </c>
      <c r="S60" s="7" t="str">
        <f t="shared" si="10"/>
        <v>Tidak</v>
      </c>
      <c r="T60" s="7" t="str">
        <f t="shared" si="11"/>
        <v>Tidak</v>
      </c>
      <c r="U60" s="7" t="str">
        <f t="shared" si="12"/>
        <v>Tidak</v>
      </c>
      <c r="V60" s="7" t="str">
        <f t="shared" si="13"/>
        <v>Tidak</v>
      </c>
      <c r="W60" s="7" t="str">
        <f t="shared" si="14"/>
        <v>Tidak</v>
      </c>
      <c r="X60" s="7" t="str">
        <f t="shared" si="15"/>
        <v>Tidak</v>
      </c>
      <c r="Y60" s="8">
        <v>44778</v>
      </c>
      <c r="Z60" s="7" t="s">
        <v>586</v>
      </c>
      <c r="AA60" s="7">
        <f t="shared" si="16"/>
        <v>3</v>
      </c>
      <c r="AB60" s="7" t="str">
        <f t="shared" si="17"/>
        <v>Menjalar ke kulit/dinding dada</v>
      </c>
      <c r="AC60" s="7" t="str">
        <f t="shared" si="18"/>
        <v>Ya</v>
      </c>
      <c r="AD60" s="7" t="s">
        <v>587</v>
      </c>
      <c r="AE60" s="7" t="s">
        <v>31</v>
      </c>
      <c r="AF60" s="7" t="str">
        <f t="shared" si="19"/>
        <v>Maksektomi</v>
      </c>
      <c r="AG60" s="8">
        <v>44931</v>
      </c>
      <c r="AH60" s="7" t="s">
        <v>588</v>
      </c>
      <c r="AI60" s="8">
        <v>44799</v>
      </c>
      <c r="AJ60" s="7" t="s">
        <v>589</v>
      </c>
      <c r="AK60" s="7" t="s">
        <v>389</v>
      </c>
      <c r="AL60" s="8">
        <v>44909</v>
      </c>
      <c r="AM60" s="7" t="s">
        <v>590</v>
      </c>
      <c r="AN60" s="8">
        <v>44992</v>
      </c>
      <c r="AO60" s="7" t="s">
        <v>295</v>
      </c>
      <c r="AP60" s="7">
        <v>25</v>
      </c>
      <c r="AQ60" s="8">
        <v>45033</v>
      </c>
      <c r="AR60" s="7" t="s">
        <v>591</v>
      </c>
      <c r="AS60" s="7" t="s">
        <v>592</v>
      </c>
      <c r="AT60" s="7" t="str">
        <f t="shared" si="20"/>
        <v>Tidak ada</v>
      </c>
      <c r="AU60" s="7" t="s">
        <v>921</v>
      </c>
      <c r="AV60" s="7" t="str">
        <f t="shared" si="21"/>
        <v>Tidak ada</v>
      </c>
      <c r="AW60" s="7" t="str">
        <f t="shared" si="22"/>
        <v>Efektif</v>
      </c>
      <c r="AX60" s="7"/>
    </row>
    <row r="61" spans="1:50" x14ac:dyDescent="0.35">
      <c r="A61" s="7">
        <v>5</v>
      </c>
      <c r="B61" s="7">
        <v>2028833</v>
      </c>
      <c r="C61" s="7" t="s">
        <v>593</v>
      </c>
      <c r="D61" s="21">
        <v>45</v>
      </c>
      <c r="E61" s="7" t="s">
        <v>594</v>
      </c>
      <c r="F61" s="7">
        <v>1.43</v>
      </c>
      <c r="G61" s="7" t="s">
        <v>576</v>
      </c>
      <c r="H61" s="7" t="s">
        <v>595</v>
      </c>
      <c r="I61" s="7" t="str">
        <f t="shared" si="0"/>
        <v>Tidak</v>
      </c>
      <c r="J61" s="7" t="str">
        <f t="shared" si="1"/>
        <v>Tidak</v>
      </c>
      <c r="K61" s="7" t="str">
        <f t="shared" si="2"/>
        <v>Ya</v>
      </c>
      <c r="L61" s="7" t="str">
        <f t="shared" si="3"/>
        <v>Tidak</v>
      </c>
      <c r="M61" s="7" t="str">
        <f t="shared" si="4"/>
        <v>Tidak</v>
      </c>
      <c r="N61" s="7" t="str">
        <f t="shared" si="5"/>
        <v>Tidak</v>
      </c>
      <c r="O61" s="7" t="str">
        <f t="shared" si="6"/>
        <v>Tidak</v>
      </c>
      <c r="P61" s="7" t="str">
        <f t="shared" si="7"/>
        <v>Tidak</v>
      </c>
      <c r="Q61" s="7" t="str">
        <f t="shared" si="8"/>
        <v>Tidak</v>
      </c>
      <c r="R61" s="7" t="str">
        <f t="shared" si="9"/>
        <v>Tidak</v>
      </c>
      <c r="S61" s="7" t="str">
        <f t="shared" si="10"/>
        <v>Tidak</v>
      </c>
      <c r="T61" s="7" t="str">
        <f t="shared" si="11"/>
        <v>Tidak</v>
      </c>
      <c r="U61" s="7" t="str">
        <f t="shared" si="12"/>
        <v>Tidak</v>
      </c>
      <c r="V61" s="7" t="str">
        <f t="shared" si="13"/>
        <v>Tidak</v>
      </c>
      <c r="W61" s="7" t="str">
        <f t="shared" si="14"/>
        <v>Tidak</v>
      </c>
      <c r="X61" s="7" t="str">
        <f t="shared" si="15"/>
        <v>Tidak</v>
      </c>
      <c r="Y61" s="8">
        <v>44834</v>
      </c>
      <c r="Z61" s="7" t="s">
        <v>596</v>
      </c>
      <c r="AA61" s="7">
        <f t="shared" si="16"/>
        <v>2</v>
      </c>
      <c r="AB61" s="7" t="str">
        <f t="shared" si="17"/>
        <v>Sedang</v>
      </c>
      <c r="AC61" s="7" t="str">
        <f t="shared" si="18"/>
        <v>Tidak diketahui</v>
      </c>
      <c r="AD61" s="2" t="s">
        <v>597</v>
      </c>
      <c r="AE61" s="7" t="s">
        <v>31</v>
      </c>
      <c r="AF61" s="7" t="str">
        <f t="shared" si="19"/>
        <v>Maksektomi</v>
      </c>
      <c r="AG61" s="8">
        <v>44971</v>
      </c>
      <c r="AH61" s="7" t="s">
        <v>559</v>
      </c>
      <c r="AI61" s="8">
        <v>44867</v>
      </c>
      <c r="AJ61" s="7" t="s">
        <v>598</v>
      </c>
      <c r="AK61" s="7" t="s">
        <v>599</v>
      </c>
      <c r="AL61" s="8">
        <v>44936</v>
      </c>
      <c r="AM61" s="7" t="s">
        <v>600</v>
      </c>
      <c r="AN61" s="8">
        <v>45050</v>
      </c>
      <c r="AO61" s="7" t="s">
        <v>313</v>
      </c>
      <c r="AP61" s="7">
        <v>30</v>
      </c>
      <c r="AQ61" s="8">
        <v>45110</v>
      </c>
      <c r="AR61" s="7" t="s">
        <v>601</v>
      </c>
      <c r="AS61" s="7" t="s">
        <v>602</v>
      </c>
      <c r="AT61" s="7" t="str">
        <f t="shared" si="20"/>
        <v>Tidak ada</v>
      </c>
      <c r="AU61" s="7" t="s">
        <v>603</v>
      </c>
      <c r="AV61" s="7" t="str">
        <f t="shared" si="21"/>
        <v>Tidak ada</v>
      </c>
      <c r="AW61" s="7" t="str">
        <f t="shared" si="22"/>
        <v>Efektif</v>
      </c>
      <c r="AX61" s="7" t="s">
        <v>604</v>
      </c>
    </row>
    <row r="62" spans="1:50" x14ac:dyDescent="0.35">
      <c r="A62" s="7">
        <v>6</v>
      </c>
      <c r="B62" s="7">
        <v>2004998</v>
      </c>
      <c r="C62" s="7" t="s">
        <v>605</v>
      </c>
      <c r="D62" s="21">
        <v>53</v>
      </c>
      <c r="E62" s="7" t="s">
        <v>606</v>
      </c>
      <c r="F62" s="7">
        <v>1.5</v>
      </c>
      <c r="G62" s="7" t="s">
        <v>576</v>
      </c>
      <c r="H62" s="7"/>
      <c r="I62" s="7" t="str">
        <f t="shared" si="0"/>
        <v>Tidak</v>
      </c>
      <c r="J62" s="7" t="str">
        <f t="shared" si="1"/>
        <v>Tidak</v>
      </c>
      <c r="K62" s="7" t="str">
        <f t="shared" si="2"/>
        <v>Tidak</v>
      </c>
      <c r="L62" s="7" t="str">
        <f t="shared" si="3"/>
        <v>Tidak</v>
      </c>
      <c r="M62" s="7" t="str">
        <f t="shared" si="4"/>
        <v>Tidak</v>
      </c>
      <c r="N62" s="7" t="str">
        <f t="shared" si="5"/>
        <v>Tidak</v>
      </c>
      <c r="O62" s="7" t="str">
        <f t="shared" si="6"/>
        <v>Tidak</v>
      </c>
      <c r="P62" s="7" t="str">
        <f t="shared" si="7"/>
        <v>Tidak</v>
      </c>
      <c r="Q62" s="7" t="str">
        <f t="shared" si="8"/>
        <v>Tidak</v>
      </c>
      <c r="R62" s="7" t="str">
        <f t="shared" si="9"/>
        <v>Tidak</v>
      </c>
      <c r="S62" s="7" t="str">
        <f t="shared" si="10"/>
        <v>Tidak</v>
      </c>
      <c r="T62" s="7" t="str">
        <f t="shared" si="11"/>
        <v>Tidak</v>
      </c>
      <c r="U62" s="7" t="str">
        <f t="shared" si="12"/>
        <v>Tidak</v>
      </c>
      <c r="V62" s="7" t="str">
        <f t="shared" si="13"/>
        <v>Tidak</v>
      </c>
      <c r="W62" s="7" t="str">
        <f t="shared" si="14"/>
        <v>Tidak</v>
      </c>
      <c r="X62" s="7" t="str">
        <f t="shared" si="15"/>
        <v>Tidak</v>
      </c>
      <c r="Y62" s="12">
        <v>44627</v>
      </c>
      <c r="Z62" s="7" t="s">
        <v>607</v>
      </c>
      <c r="AA62" s="7">
        <f t="shared" si="16"/>
        <v>4</v>
      </c>
      <c r="AB62" s="7" t="str">
        <f t="shared" si="17"/>
        <v>Besar</v>
      </c>
      <c r="AC62" s="7" t="str">
        <f t="shared" si="18"/>
        <v>Ya</v>
      </c>
      <c r="AD62" s="2" t="s">
        <v>608</v>
      </c>
      <c r="AE62" s="7" t="s">
        <v>31</v>
      </c>
      <c r="AF62" s="7" t="str">
        <f t="shared" si="19"/>
        <v>Maksektomi</v>
      </c>
      <c r="AG62" s="8">
        <v>45606</v>
      </c>
      <c r="AH62" s="7" t="s">
        <v>559</v>
      </c>
      <c r="AI62" s="8">
        <v>44648</v>
      </c>
      <c r="AJ62" s="7" t="s">
        <v>609</v>
      </c>
      <c r="AK62" s="7" t="s">
        <v>34</v>
      </c>
      <c r="AL62" s="8">
        <v>44754</v>
      </c>
      <c r="AM62" s="7" t="s">
        <v>610</v>
      </c>
      <c r="AN62" s="12">
        <v>44851</v>
      </c>
      <c r="AO62" s="7" t="s">
        <v>611</v>
      </c>
      <c r="AP62" s="7">
        <v>30</v>
      </c>
      <c r="AQ62" s="8">
        <v>44893</v>
      </c>
      <c r="AR62" s="7" t="s">
        <v>612</v>
      </c>
      <c r="AS62" s="7" t="s">
        <v>613</v>
      </c>
      <c r="AT62" s="7" t="str">
        <f t="shared" si="20"/>
        <v>Tidak ada</v>
      </c>
      <c r="AU62" s="7" t="s">
        <v>614</v>
      </c>
      <c r="AV62" s="7" t="str">
        <f t="shared" si="21"/>
        <v>Tidak ada</v>
      </c>
      <c r="AW62" s="7" t="str">
        <f t="shared" si="22"/>
        <v>Efektif</v>
      </c>
      <c r="AX62" s="7" t="s">
        <v>615</v>
      </c>
    </row>
    <row r="63" spans="1:50" x14ac:dyDescent="0.35">
      <c r="A63" s="7">
        <v>7</v>
      </c>
      <c r="B63" s="7">
        <v>2002773</v>
      </c>
      <c r="C63" s="7" t="s">
        <v>616</v>
      </c>
      <c r="D63" s="21">
        <v>44</v>
      </c>
      <c r="E63" s="7" t="s">
        <v>617</v>
      </c>
      <c r="F63" s="7">
        <v>1.85</v>
      </c>
      <c r="G63" s="7" t="s">
        <v>618</v>
      </c>
      <c r="H63" s="7"/>
      <c r="I63" s="7" t="str">
        <f t="shared" si="0"/>
        <v>Tidak</v>
      </c>
      <c r="J63" s="7" t="str">
        <f t="shared" si="1"/>
        <v>Tidak</v>
      </c>
      <c r="K63" s="7" t="str">
        <f t="shared" si="2"/>
        <v>Tidak</v>
      </c>
      <c r="L63" s="7" t="str">
        <f t="shared" si="3"/>
        <v>Tidak</v>
      </c>
      <c r="M63" s="7" t="str">
        <f t="shared" si="4"/>
        <v>Tidak</v>
      </c>
      <c r="N63" s="7" t="str">
        <f t="shared" si="5"/>
        <v>Tidak</v>
      </c>
      <c r="O63" s="7" t="str">
        <f t="shared" si="6"/>
        <v>Tidak</v>
      </c>
      <c r="P63" s="7" t="str">
        <f t="shared" si="7"/>
        <v>Tidak</v>
      </c>
      <c r="Q63" s="7" t="str">
        <f t="shared" si="8"/>
        <v>Tidak</v>
      </c>
      <c r="R63" s="7" t="str">
        <f t="shared" si="9"/>
        <v>Tidak</v>
      </c>
      <c r="S63" s="7" t="str">
        <f t="shared" si="10"/>
        <v>Tidak</v>
      </c>
      <c r="T63" s="7" t="str">
        <f t="shared" si="11"/>
        <v>Tidak</v>
      </c>
      <c r="U63" s="7" t="str">
        <f t="shared" si="12"/>
        <v>Tidak</v>
      </c>
      <c r="V63" s="7" t="str">
        <f t="shared" si="13"/>
        <v>Tidak</v>
      </c>
      <c r="W63" s="7" t="str">
        <f t="shared" si="14"/>
        <v>Tidak</v>
      </c>
      <c r="X63" s="7" t="str">
        <f t="shared" si="15"/>
        <v>Tidak</v>
      </c>
      <c r="Y63" s="8">
        <v>44606</v>
      </c>
      <c r="Z63" s="7" t="s">
        <v>619</v>
      </c>
      <c r="AA63" s="7">
        <f t="shared" si="16"/>
        <v>4</v>
      </c>
      <c r="AB63" s="7" t="str">
        <f t="shared" si="17"/>
        <v>Sedang</v>
      </c>
      <c r="AC63" s="7" t="str">
        <f t="shared" si="18"/>
        <v>Tidak</v>
      </c>
      <c r="AD63" s="7" t="s">
        <v>620</v>
      </c>
      <c r="AE63" s="7" t="s">
        <v>57</v>
      </c>
      <c r="AF63" s="7" t="str">
        <f t="shared" si="19"/>
        <v>Maksektomi</v>
      </c>
      <c r="AG63" s="8">
        <v>44738</v>
      </c>
      <c r="AH63" s="7" t="s">
        <v>559</v>
      </c>
      <c r="AI63" s="8">
        <v>44622</v>
      </c>
      <c r="AJ63" s="7" t="s">
        <v>621</v>
      </c>
      <c r="AK63" s="7" t="s">
        <v>34</v>
      </c>
      <c r="AL63" s="8">
        <v>44729</v>
      </c>
      <c r="AM63" s="7" t="s">
        <v>622</v>
      </c>
      <c r="AN63" s="8">
        <v>44853</v>
      </c>
      <c r="AO63" s="7" t="s">
        <v>295</v>
      </c>
      <c r="AP63" s="7">
        <v>25</v>
      </c>
      <c r="AQ63" s="8">
        <v>44888</v>
      </c>
      <c r="AR63" s="7" t="s">
        <v>623</v>
      </c>
      <c r="AS63" s="7" t="s">
        <v>624</v>
      </c>
      <c r="AT63" s="7" t="str">
        <f t="shared" si="20"/>
        <v>Tidak ada</v>
      </c>
      <c r="AU63" s="7" t="s">
        <v>625</v>
      </c>
      <c r="AV63" s="7" t="str">
        <f t="shared" si="21"/>
        <v>Tidak ada</v>
      </c>
      <c r="AW63" s="7" t="str">
        <f t="shared" si="22"/>
        <v>Efektif</v>
      </c>
      <c r="AX63" s="7" t="s">
        <v>626</v>
      </c>
    </row>
    <row r="64" spans="1:50" x14ac:dyDescent="0.35">
      <c r="A64" s="7">
        <v>8</v>
      </c>
      <c r="B64" s="7">
        <v>200073</v>
      </c>
      <c r="C64" s="7" t="s">
        <v>627</v>
      </c>
      <c r="D64" s="21">
        <v>51</v>
      </c>
      <c r="E64" s="7" t="s">
        <v>628</v>
      </c>
      <c r="F64" s="7">
        <v>1.42</v>
      </c>
      <c r="G64" s="7" t="s">
        <v>576</v>
      </c>
      <c r="H64" s="7"/>
      <c r="I64" s="7" t="str">
        <f t="shared" si="0"/>
        <v>Tidak</v>
      </c>
      <c r="J64" s="7" t="str">
        <f t="shared" si="1"/>
        <v>Tidak</v>
      </c>
      <c r="K64" s="7" t="str">
        <f t="shared" si="2"/>
        <v>Tidak</v>
      </c>
      <c r="L64" s="7" t="str">
        <f t="shared" si="3"/>
        <v>Tidak</v>
      </c>
      <c r="M64" s="7" t="str">
        <f t="shared" si="4"/>
        <v>Tidak</v>
      </c>
      <c r="N64" s="7" t="str">
        <f t="shared" si="5"/>
        <v>Tidak</v>
      </c>
      <c r="O64" s="7" t="str">
        <f t="shared" si="6"/>
        <v>Tidak</v>
      </c>
      <c r="P64" s="7" t="str">
        <f t="shared" si="7"/>
        <v>Tidak</v>
      </c>
      <c r="Q64" s="7" t="str">
        <f t="shared" si="8"/>
        <v>Tidak</v>
      </c>
      <c r="R64" s="7" t="str">
        <f t="shared" si="9"/>
        <v>Tidak</v>
      </c>
      <c r="S64" s="7" t="str">
        <f t="shared" si="10"/>
        <v>Tidak</v>
      </c>
      <c r="T64" s="7" t="str">
        <f t="shared" si="11"/>
        <v>Tidak</v>
      </c>
      <c r="U64" s="7" t="str">
        <f t="shared" si="12"/>
        <v>Tidak</v>
      </c>
      <c r="V64" s="7" t="str">
        <f t="shared" si="13"/>
        <v>Tidak</v>
      </c>
      <c r="W64" s="7" t="str">
        <f t="shared" si="14"/>
        <v>Tidak</v>
      </c>
      <c r="X64" s="7" t="str">
        <f t="shared" si="15"/>
        <v>Tidak</v>
      </c>
      <c r="Y64" s="8">
        <v>44586</v>
      </c>
      <c r="Z64" s="7" t="s">
        <v>629</v>
      </c>
      <c r="AA64" s="7">
        <f t="shared" si="16"/>
        <v>1</v>
      </c>
      <c r="AB64" s="7" t="str">
        <f t="shared" si="17"/>
        <v>Kecil</v>
      </c>
      <c r="AC64" s="7" t="str">
        <f t="shared" si="18"/>
        <v>Tidak</v>
      </c>
      <c r="AD64" s="7" t="s">
        <v>630</v>
      </c>
      <c r="AE64" s="7" t="s">
        <v>31</v>
      </c>
      <c r="AF64" s="7" t="str">
        <f t="shared" si="19"/>
        <v>Maksektomi</v>
      </c>
      <c r="AG64" s="8">
        <v>44760</v>
      </c>
      <c r="AH64" s="7" t="s">
        <v>559</v>
      </c>
      <c r="AI64" s="8">
        <v>44627</v>
      </c>
      <c r="AJ64" s="7" t="s">
        <v>621</v>
      </c>
      <c r="AK64" s="7" t="s">
        <v>34</v>
      </c>
      <c r="AL64" s="8">
        <v>44735</v>
      </c>
      <c r="AM64" s="7" t="s">
        <v>622</v>
      </c>
      <c r="AN64" s="8">
        <v>44890</v>
      </c>
      <c r="AO64" s="7" t="s">
        <v>295</v>
      </c>
      <c r="AP64" s="7">
        <v>25</v>
      </c>
      <c r="AQ64" s="8">
        <v>44909</v>
      </c>
      <c r="AR64" s="7" t="s">
        <v>631</v>
      </c>
      <c r="AS64" s="7" t="s">
        <v>632</v>
      </c>
      <c r="AT64" s="7" t="str">
        <f t="shared" si="20"/>
        <v>Tidak ada</v>
      </c>
      <c r="AU64" s="7" t="s">
        <v>633</v>
      </c>
      <c r="AV64" s="7" t="str">
        <f t="shared" si="21"/>
        <v>Ada</v>
      </c>
      <c r="AW64" s="7" t="str">
        <f t="shared" si="22"/>
        <v>Tidak Efektif</v>
      </c>
      <c r="AX64" s="7" t="s">
        <v>634</v>
      </c>
    </row>
    <row r="65" spans="1:50" x14ac:dyDescent="0.35">
      <c r="A65" s="7">
        <v>9</v>
      </c>
      <c r="B65" s="7">
        <v>2004629</v>
      </c>
      <c r="C65" s="7" t="s">
        <v>635</v>
      </c>
      <c r="D65" s="21">
        <v>54</v>
      </c>
      <c r="E65" s="7" t="s">
        <v>636</v>
      </c>
      <c r="F65" s="7">
        <v>1.56</v>
      </c>
      <c r="G65" s="7" t="s">
        <v>222</v>
      </c>
      <c r="H65" s="7"/>
      <c r="I65" s="7" t="str">
        <f t="shared" si="0"/>
        <v>Tidak</v>
      </c>
      <c r="J65" s="7" t="str">
        <f t="shared" si="1"/>
        <v>Tidak</v>
      </c>
      <c r="K65" s="7" t="str">
        <f t="shared" si="2"/>
        <v>Tidak</v>
      </c>
      <c r="L65" s="7" t="str">
        <f t="shared" si="3"/>
        <v>Tidak</v>
      </c>
      <c r="M65" s="7" t="str">
        <f t="shared" si="4"/>
        <v>Tidak</v>
      </c>
      <c r="N65" s="7" t="str">
        <f t="shared" si="5"/>
        <v>Tidak</v>
      </c>
      <c r="O65" s="7" t="str">
        <f t="shared" si="6"/>
        <v>Tidak</v>
      </c>
      <c r="P65" s="7" t="str">
        <f t="shared" si="7"/>
        <v>Tidak</v>
      </c>
      <c r="Q65" s="7" t="str">
        <f t="shared" si="8"/>
        <v>Tidak</v>
      </c>
      <c r="R65" s="7" t="str">
        <f t="shared" si="9"/>
        <v>Tidak</v>
      </c>
      <c r="S65" s="7" t="str">
        <f t="shared" si="10"/>
        <v>Tidak</v>
      </c>
      <c r="T65" s="7" t="str">
        <f t="shared" si="11"/>
        <v>Tidak</v>
      </c>
      <c r="U65" s="7" t="str">
        <f t="shared" si="12"/>
        <v>Tidak</v>
      </c>
      <c r="V65" s="7" t="str">
        <f t="shared" si="13"/>
        <v>Tidak</v>
      </c>
      <c r="W65" s="7" t="str">
        <f t="shared" si="14"/>
        <v>Tidak</v>
      </c>
      <c r="X65" s="7" t="str">
        <f t="shared" si="15"/>
        <v>Tidak</v>
      </c>
      <c r="Y65" s="8">
        <v>44624</v>
      </c>
      <c r="Z65" s="7" t="s">
        <v>637</v>
      </c>
      <c r="AA65" s="7">
        <f t="shared" si="16"/>
        <v>2</v>
      </c>
      <c r="AB65" s="7" t="str">
        <f t="shared" si="17"/>
        <v>Kecil</v>
      </c>
      <c r="AC65" s="7" t="str">
        <f t="shared" si="18"/>
        <v>Ya</v>
      </c>
      <c r="AD65" s="7" t="s">
        <v>638</v>
      </c>
      <c r="AE65" s="7" t="s">
        <v>57</v>
      </c>
      <c r="AF65" s="7" t="str">
        <f t="shared" si="19"/>
        <v>Maksektomi</v>
      </c>
      <c r="AG65" s="8">
        <v>44627</v>
      </c>
      <c r="AH65" s="7" t="s">
        <v>559</v>
      </c>
      <c r="AI65" s="8">
        <v>44770</v>
      </c>
      <c r="AJ65" s="7" t="s">
        <v>639</v>
      </c>
      <c r="AK65" s="7" t="s">
        <v>34</v>
      </c>
      <c r="AL65" s="8">
        <v>44770</v>
      </c>
      <c r="AM65" s="7" t="s">
        <v>640</v>
      </c>
      <c r="AN65" s="8">
        <v>44907</v>
      </c>
      <c r="AO65" s="7" t="s">
        <v>295</v>
      </c>
      <c r="AP65" s="7">
        <v>25</v>
      </c>
      <c r="AQ65" s="8">
        <v>44939</v>
      </c>
      <c r="AR65" s="7" t="s">
        <v>641</v>
      </c>
      <c r="AS65" s="7" t="s">
        <v>642</v>
      </c>
      <c r="AT65" s="7" t="str">
        <f t="shared" si="20"/>
        <v>Tidak ada</v>
      </c>
      <c r="AU65" s="7" t="s">
        <v>643</v>
      </c>
      <c r="AV65" s="7" t="str">
        <f t="shared" si="21"/>
        <v>Tidak ada</v>
      </c>
      <c r="AW65" s="7" t="str">
        <f t="shared" si="22"/>
        <v>Efektif</v>
      </c>
      <c r="AX65" s="7" t="s">
        <v>537</v>
      </c>
    </row>
    <row r="66" spans="1:50" x14ac:dyDescent="0.35">
      <c r="A66" s="7">
        <v>10</v>
      </c>
      <c r="B66" s="7">
        <v>2005065</v>
      </c>
      <c r="C66" s="7" t="s">
        <v>644</v>
      </c>
      <c r="D66" s="21">
        <v>48</v>
      </c>
      <c r="E66" s="7" t="s">
        <v>484</v>
      </c>
      <c r="F66" s="7">
        <v>1.49</v>
      </c>
      <c r="G66" s="7" t="s">
        <v>114</v>
      </c>
      <c r="H66" s="7"/>
      <c r="I66" s="7" t="str">
        <f t="shared" si="0"/>
        <v>Tidak</v>
      </c>
      <c r="J66" s="7" t="str">
        <f t="shared" si="1"/>
        <v>Tidak</v>
      </c>
      <c r="K66" s="7" t="str">
        <f t="shared" si="2"/>
        <v>Tidak</v>
      </c>
      <c r="L66" s="7" t="str">
        <f t="shared" si="3"/>
        <v>Tidak</v>
      </c>
      <c r="M66" s="7" t="str">
        <f t="shared" si="4"/>
        <v>Tidak</v>
      </c>
      <c r="N66" s="7" t="str">
        <f t="shared" si="5"/>
        <v>Tidak</v>
      </c>
      <c r="O66" s="7" t="str">
        <f t="shared" si="6"/>
        <v>Tidak</v>
      </c>
      <c r="P66" s="7" t="str">
        <f t="shared" si="7"/>
        <v>Tidak</v>
      </c>
      <c r="Q66" s="7" t="str">
        <f t="shared" si="8"/>
        <v>Tidak</v>
      </c>
      <c r="R66" s="7" t="str">
        <f t="shared" si="9"/>
        <v>Tidak</v>
      </c>
      <c r="S66" s="7" t="str">
        <f t="shared" si="10"/>
        <v>Tidak</v>
      </c>
      <c r="T66" s="7" t="str">
        <f t="shared" si="11"/>
        <v>Tidak</v>
      </c>
      <c r="U66" s="7" t="str">
        <f t="shared" si="12"/>
        <v>Tidak</v>
      </c>
      <c r="V66" s="7" t="str">
        <f t="shared" si="13"/>
        <v>Tidak</v>
      </c>
      <c r="W66" s="7" t="str">
        <f t="shared" si="14"/>
        <v>Tidak</v>
      </c>
      <c r="X66" s="7" t="str">
        <f t="shared" si="15"/>
        <v>Tidak</v>
      </c>
      <c r="Y66" s="8">
        <v>44624</v>
      </c>
      <c r="Z66" s="7" t="s">
        <v>474</v>
      </c>
      <c r="AA66" s="7">
        <f t="shared" si="16"/>
        <v>3</v>
      </c>
      <c r="AB66" s="7" t="str">
        <f t="shared" si="17"/>
        <v>Besar</v>
      </c>
      <c r="AC66" s="7" t="str">
        <f t="shared" si="18"/>
        <v>Ya</v>
      </c>
      <c r="AD66" s="7" t="s">
        <v>645</v>
      </c>
      <c r="AE66" s="7" t="s">
        <v>31</v>
      </c>
      <c r="AF66" s="7" t="str">
        <f t="shared" si="19"/>
        <v>Maksektomi</v>
      </c>
      <c r="AG66" s="8">
        <v>44790</v>
      </c>
      <c r="AH66" s="7" t="s">
        <v>559</v>
      </c>
      <c r="AI66" s="8">
        <v>44627</v>
      </c>
      <c r="AJ66" s="7" t="s">
        <v>639</v>
      </c>
      <c r="AK66" s="7" t="s">
        <v>34</v>
      </c>
      <c r="AL66" s="8">
        <v>44771</v>
      </c>
      <c r="AM66" s="7" t="s">
        <v>640</v>
      </c>
      <c r="AN66" s="8">
        <v>44908</v>
      </c>
      <c r="AO66" s="7" t="s">
        <v>295</v>
      </c>
      <c r="AP66" s="7">
        <v>25</v>
      </c>
      <c r="AQ66" s="8">
        <v>44943</v>
      </c>
      <c r="AR66" s="7" t="s">
        <v>646</v>
      </c>
      <c r="AS66" s="7" t="s">
        <v>921</v>
      </c>
      <c r="AT66" s="7" t="str">
        <f t="shared" ref="AT66:AT97" si="23">IF(OR(ISNUMBER(SEARCH("tidak",LOWER(AS66))), ISNUMBER(SEARCH("tak",LOWER(AS66)))),"Tidak ada","Ada")</f>
        <v>Tidak ada</v>
      </c>
      <c r="AU66" s="7" t="s">
        <v>647</v>
      </c>
      <c r="AV66" s="7" t="str">
        <f t="shared" ref="AV66:AV97" si="24">IF(OR(ISNUMBER(SEARCH("tidak",LOWER(AU66))), ISNUMBER(SEARCH("tak",LOWER(AU66)))),"Tidak ada","Ada")</f>
        <v>Tidak ada</v>
      </c>
      <c r="AW66" s="7" t="str">
        <f t="shared" ref="AW66:AW97" si="25">IF(AND(AT66="Tidak ada",AV66="Tidak ada"),"Efektif","Tidak Efektif")</f>
        <v>Efektif</v>
      </c>
      <c r="AX66" s="7" t="s">
        <v>626</v>
      </c>
    </row>
    <row r="67" spans="1:50" x14ac:dyDescent="0.35">
      <c r="A67" s="7">
        <v>11</v>
      </c>
      <c r="B67" s="7">
        <v>2008269</v>
      </c>
      <c r="C67" s="7" t="s">
        <v>648</v>
      </c>
      <c r="D67" s="21">
        <v>39</v>
      </c>
      <c r="E67" s="7" t="s">
        <v>649</v>
      </c>
      <c r="F67" s="7">
        <v>1.68</v>
      </c>
      <c r="G67" s="7" t="s">
        <v>222</v>
      </c>
      <c r="H67" s="7"/>
      <c r="I67" s="7" t="str">
        <f t="shared" ref="I67:I97" si="26">IF(ISNUMBER(SEARCH(LOWER($I$1),LOWER(H67))),"Ya","Tidak")</f>
        <v>Tidak</v>
      </c>
      <c r="J67" s="7" t="str">
        <f t="shared" ref="J67:J97" si="27">IF(ISNUMBER(SEARCH(LOWER($J$1),LOWER(H67))),"Ya","Tidak")</f>
        <v>Tidak</v>
      </c>
      <c r="K67" s="7" t="str">
        <f t="shared" ref="K67:K97" si="28">IF(ISNUMBER(SEARCH(LOWER($K$1),LOWER(H67))),"Ya","Tidak")</f>
        <v>Tidak</v>
      </c>
      <c r="L67" s="7" t="str">
        <f t="shared" ref="L67:L97" si="29">IF(ISNUMBER(SEARCH(LOWER($L$1),LOWER(H67))),"Ya","Tidak")</f>
        <v>Tidak</v>
      </c>
      <c r="M67" s="7" t="str">
        <f t="shared" ref="M67:M97" si="30">IF(ISNUMBER(SEARCH(LOWER($M$1),LOWER(H67))),"Ya","Tidak")</f>
        <v>Tidak</v>
      </c>
      <c r="N67" s="7" t="str">
        <f t="shared" ref="N67:N97" si="31">IF(ISNUMBER(SEARCH(LOWER($N$1),LOWER(H67))),"Ya","Tidak")</f>
        <v>Tidak</v>
      </c>
      <c r="O67" s="7" t="str">
        <f t="shared" ref="O67:O97" si="32">IF(ISNUMBER(SEARCH(LOWER($O$1),LOWER(H67))),"Ya","Tidak")</f>
        <v>Tidak</v>
      </c>
      <c r="P67" s="7" t="str">
        <f t="shared" ref="P67:P97" si="33">IF(OR(ISNUMBER(SEARCH(LOWER($P$1),LOWER(H67))), ISNUMBER(SEARCH("dm",LOWER(H67)))),"Ya","Tidak")</f>
        <v>Tidak</v>
      </c>
      <c r="Q67" s="7" t="str">
        <f t="shared" ref="Q67:Q97" si="34">IF(ISNUMBER(SEARCH(LOWER($Q$1),LOWER(H67))),"Ya","Tidak")</f>
        <v>Tidak</v>
      </c>
      <c r="R67" s="7" t="str">
        <f t="shared" ref="R67:R97" si="35">IF(ISNUMBER(SEARCH(LOWER($R$1),LOWER(H67))),"Ya","Tidak")</f>
        <v>Tidak</v>
      </c>
      <c r="S67" s="7" t="str">
        <f t="shared" ref="S67:S97" si="36">IF(ISNUMBER(SEARCH(LOWER($S$1),LOWER(H67))),"Ya","Tidak")</f>
        <v>Tidak</v>
      </c>
      <c r="T67" s="7" t="str">
        <f t="shared" ref="T67:T97" si="37">IF(ISNUMBER(SEARCH(LOWER($T$1),LOWER(H67))),"Ya","Tidak")</f>
        <v>Tidak</v>
      </c>
      <c r="U67" s="7" t="str">
        <f t="shared" ref="U67:U97" si="38">IF(ISNUMBER(SEARCH(LOWER($U$1),LOWER(H67))),"Ya","Tidak")</f>
        <v>Tidak</v>
      </c>
      <c r="V67" s="7" t="str">
        <f t="shared" ref="V67:V97" si="39">IF(ISNUMBER(SEARCH(LOWER($V$1),LOWER(H67))),"Ya","Tidak")</f>
        <v>Tidak</v>
      </c>
      <c r="W67" s="7" t="str">
        <f t="shared" ref="W67:W97" si="40">IF(ISNUMBER(SEARCH(LOWER($W$1),LOWER(H67))),"Ya","Tidak")</f>
        <v>Tidak</v>
      </c>
      <c r="X67" s="7" t="str">
        <f t="shared" ref="X67:X97" si="41">IF(ISNUMBER(SEARCH(LOWER($X$1),LOWER(H67))),"Ya","Tidak")</f>
        <v>Tidak</v>
      </c>
      <c r="Y67" s="8">
        <v>44657</v>
      </c>
      <c r="Z67" s="7" t="s">
        <v>502</v>
      </c>
      <c r="AA67" s="7">
        <f t="shared" ref="AA67:AA97" si="42">IF(Z67="",1,IF(ISNUMBER(SEARCH("M1",Z67)),4,
    IF(OR(ISNUMBER(SEARCH("T0",Z67)),AND(ISNUMBER(SEARCH("T1",Z67)),ISNUMBER(SEARCH("N0",Z67))),
           AND(ISNUMBER(SEARCH("T1",Z67)),ISNUMBER(SEARCH("Nx",Z67)))),1,
        IF(OR(ISNUMBER(SEARCH("T1",Z67)),ISNUMBER(SEARCH("T2",Z67))),
            IF(OR(ISNUMBER(SEARCH("N1",Z67)),ISNUMBER(SEARCH("N2",Z67)),ISNUMBER(SEARCH("N2a",Z67)),ISNUMBER(SEARCH("N2A",Z67))),2,2),
            IF(OR(ISNUMBER(SEARCH("T3",Z67)),ISNUMBER(SEARCH("T4",Z67))),3,"")
        )
    )
))</f>
        <v>3</v>
      </c>
      <c r="AB67" s="7" t="str">
        <f t="shared" ref="AB67:AB97" si="43">IF(ISNUMBER(SEARCH("T0",Z67)),"Tidak ada",
    IF(ISNUMBER(SEARCH("T1",Z67)),"Kecil",
      IF(ISNUMBER(SEARCH("T2",Z67)),"Sedang",
        IF(ISNUMBER(SEARCH("T3",Z67)),"Besar",
          IF(ISNUMBER(SEARCH("T4",Z67)),"Menjalar ke kulit/dinding dada","Tidak diketahui")
        )
      )
    )
  )</f>
        <v>Besar</v>
      </c>
      <c r="AC67" s="7" t="str">
        <f t="shared" ref="AC67:AC97" si="44">IF(ISNUMBER(SEARCH("N0",Z67)),"Tidak",
    IF(OR(ISNUMBER(SEARCH("N1",Z67)),ISNUMBER(SEARCH("N2",Z67)),ISNUMBER(SEARCH("N3",Z67))),"Ya",
      IF(ISNUMBER(SEARCH("Nx",Z67)),"Tidak diketahui","Tidak diketahui")))</f>
        <v>Ya</v>
      </c>
      <c r="AD67" s="7" t="s">
        <v>650</v>
      </c>
      <c r="AE67" s="7" t="s">
        <v>57</v>
      </c>
      <c r="AF67" s="7" t="str">
        <f t="shared" ref="AF67:AF97" si="45">IF(LEFT(AE67,3)="MRM","Maksektomi","BCS")</f>
        <v>Maksektomi</v>
      </c>
      <c r="AG67" s="8">
        <v>44846</v>
      </c>
      <c r="AH67" s="7" t="s">
        <v>559</v>
      </c>
      <c r="AI67" s="8">
        <v>44679</v>
      </c>
      <c r="AJ67" s="7" t="s">
        <v>651</v>
      </c>
      <c r="AK67" s="7" t="s">
        <v>59</v>
      </c>
      <c r="AL67" s="8">
        <v>44826</v>
      </c>
      <c r="AM67" s="7" t="s">
        <v>622</v>
      </c>
      <c r="AN67" s="8">
        <v>44909</v>
      </c>
      <c r="AO67" s="7" t="s">
        <v>652</v>
      </c>
      <c r="AP67" s="7">
        <v>30</v>
      </c>
      <c r="AQ67" s="8">
        <v>44953</v>
      </c>
      <c r="AR67" s="7" t="s">
        <v>653</v>
      </c>
      <c r="AS67" s="7" t="s">
        <v>654</v>
      </c>
      <c r="AT67" s="7" t="str">
        <f t="shared" si="23"/>
        <v>Ada</v>
      </c>
      <c r="AU67" s="7" t="s">
        <v>921</v>
      </c>
      <c r="AV67" s="7" t="str">
        <f t="shared" si="24"/>
        <v>Tidak ada</v>
      </c>
      <c r="AW67" s="7" t="str">
        <f t="shared" si="25"/>
        <v>Tidak Efektif</v>
      </c>
      <c r="AX67" s="7"/>
    </row>
    <row r="68" spans="1:50" x14ac:dyDescent="0.35">
      <c r="A68" s="7">
        <v>12</v>
      </c>
      <c r="B68" s="7">
        <v>2028322</v>
      </c>
      <c r="C68" s="7" t="s">
        <v>655</v>
      </c>
      <c r="D68" s="21">
        <v>45</v>
      </c>
      <c r="E68" s="7" t="s">
        <v>656</v>
      </c>
      <c r="F68" s="7">
        <v>1.75</v>
      </c>
      <c r="G68" s="7" t="s">
        <v>222</v>
      </c>
      <c r="H68" s="7"/>
      <c r="I68" s="7" t="str">
        <f t="shared" si="26"/>
        <v>Tidak</v>
      </c>
      <c r="J68" s="7" t="str">
        <f t="shared" si="27"/>
        <v>Tidak</v>
      </c>
      <c r="K68" s="7" t="str">
        <f t="shared" si="28"/>
        <v>Tidak</v>
      </c>
      <c r="L68" s="7" t="str">
        <f t="shared" si="29"/>
        <v>Tidak</v>
      </c>
      <c r="M68" s="7" t="str">
        <f t="shared" si="30"/>
        <v>Tidak</v>
      </c>
      <c r="N68" s="7" t="str">
        <f t="shared" si="31"/>
        <v>Tidak</v>
      </c>
      <c r="O68" s="7" t="str">
        <f t="shared" si="32"/>
        <v>Tidak</v>
      </c>
      <c r="P68" s="7" t="str">
        <f t="shared" si="33"/>
        <v>Tidak</v>
      </c>
      <c r="Q68" s="7" t="str">
        <f t="shared" si="34"/>
        <v>Tidak</v>
      </c>
      <c r="R68" s="7" t="str">
        <f t="shared" si="35"/>
        <v>Tidak</v>
      </c>
      <c r="S68" s="7" t="str">
        <f t="shared" si="36"/>
        <v>Tidak</v>
      </c>
      <c r="T68" s="7" t="str">
        <f t="shared" si="37"/>
        <v>Tidak</v>
      </c>
      <c r="U68" s="7" t="str">
        <f t="shared" si="38"/>
        <v>Tidak</v>
      </c>
      <c r="V68" s="7" t="str">
        <f t="shared" si="39"/>
        <v>Tidak</v>
      </c>
      <c r="W68" s="7" t="str">
        <f t="shared" si="40"/>
        <v>Tidak</v>
      </c>
      <c r="X68" s="7" t="str">
        <f t="shared" si="41"/>
        <v>Tidak</v>
      </c>
      <c r="Y68" s="8">
        <v>44831</v>
      </c>
      <c r="Z68" s="7" t="s">
        <v>386</v>
      </c>
      <c r="AA68" s="7">
        <f t="shared" si="42"/>
        <v>2</v>
      </c>
      <c r="AB68" s="7" t="str">
        <f t="shared" si="43"/>
        <v>Kecil</v>
      </c>
      <c r="AC68" s="7" t="str">
        <f t="shared" si="44"/>
        <v>Ya</v>
      </c>
      <c r="AD68" s="7" t="s">
        <v>657</v>
      </c>
      <c r="AE68" s="7" t="s">
        <v>57</v>
      </c>
      <c r="AF68" s="7" t="str">
        <f t="shared" si="45"/>
        <v>Maksektomi</v>
      </c>
      <c r="AG68" s="8">
        <v>44874</v>
      </c>
      <c r="AH68" s="7" t="s">
        <v>559</v>
      </c>
      <c r="AI68" s="8">
        <v>44874</v>
      </c>
      <c r="AJ68" s="7" t="s">
        <v>658</v>
      </c>
      <c r="AK68" s="7" t="s">
        <v>659</v>
      </c>
      <c r="AL68" s="8">
        <v>44914</v>
      </c>
      <c r="AM68" s="7" t="s">
        <v>246</v>
      </c>
      <c r="AN68" s="8">
        <v>44914</v>
      </c>
      <c r="AO68" s="7" t="s">
        <v>488</v>
      </c>
      <c r="AP68" s="7">
        <v>25</v>
      </c>
      <c r="AQ68" s="8">
        <v>44950</v>
      </c>
      <c r="AR68" s="7" t="s">
        <v>660</v>
      </c>
      <c r="AS68" s="7" t="s">
        <v>661</v>
      </c>
      <c r="AT68" s="7" t="str">
        <f t="shared" si="23"/>
        <v>Tidak ada</v>
      </c>
      <c r="AU68" s="7" t="s">
        <v>662</v>
      </c>
      <c r="AV68" s="7" t="str">
        <f t="shared" si="24"/>
        <v>Tidak ada</v>
      </c>
      <c r="AW68" s="7" t="str">
        <f t="shared" si="25"/>
        <v>Efektif</v>
      </c>
      <c r="AX68" s="7" t="s">
        <v>663</v>
      </c>
    </row>
    <row r="69" spans="1:50" x14ac:dyDescent="0.35">
      <c r="A69" s="7">
        <v>13</v>
      </c>
      <c r="B69" s="7">
        <v>2028833</v>
      </c>
      <c r="C69" s="7" t="s">
        <v>593</v>
      </c>
      <c r="D69" s="21">
        <v>45</v>
      </c>
      <c r="E69" s="7" t="s">
        <v>664</v>
      </c>
      <c r="F69" s="7">
        <v>1.43</v>
      </c>
      <c r="G69" s="7" t="s">
        <v>114</v>
      </c>
      <c r="H69" s="7" t="s">
        <v>595</v>
      </c>
      <c r="I69" s="7" t="str">
        <f t="shared" si="26"/>
        <v>Tidak</v>
      </c>
      <c r="J69" s="7" t="str">
        <f t="shared" si="27"/>
        <v>Tidak</v>
      </c>
      <c r="K69" s="7" t="str">
        <f t="shared" si="28"/>
        <v>Ya</v>
      </c>
      <c r="L69" s="7" t="str">
        <f t="shared" si="29"/>
        <v>Tidak</v>
      </c>
      <c r="M69" s="7" t="str">
        <f t="shared" si="30"/>
        <v>Tidak</v>
      </c>
      <c r="N69" s="7" t="str">
        <f t="shared" si="31"/>
        <v>Tidak</v>
      </c>
      <c r="O69" s="7" t="str">
        <f t="shared" si="32"/>
        <v>Tidak</v>
      </c>
      <c r="P69" s="7" t="str">
        <f t="shared" si="33"/>
        <v>Tidak</v>
      </c>
      <c r="Q69" s="7" t="str">
        <f t="shared" si="34"/>
        <v>Tidak</v>
      </c>
      <c r="R69" s="7" t="str">
        <f t="shared" si="35"/>
        <v>Tidak</v>
      </c>
      <c r="S69" s="7" t="str">
        <f t="shared" si="36"/>
        <v>Tidak</v>
      </c>
      <c r="T69" s="7" t="str">
        <f t="shared" si="37"/>
        <v>Tidak</v>
      </c>
      <c r="U69" s="7" t="str">
        <f t="shared" si="38"/>
        <v>Tidak</v>
      </c>
      <c r="V69" s="7" t="str">
        <f t="shared" si="39"/>
        <v>Tidak</v>
      </c>
      <c r="W69" s="7" t="str">
        <f t="shared" si="40"/>
        <v>Tidak</v>
      </c>
      <c r="X69" s="7" t="str">
        <f t="shared" si="41"/>
        <v>Tidak</v>
      </c>
      <c r="Y69" s="8">
        <v>44834</v>
      </c>
      <c r="Z69" s="7" t="s">
        <v>665</v>
      </c>
      <c r="AA69" s="7">
        <f t="shared" si="42"/>
        <v>2</v>
      </c>
      <c r="AB69" s="7" t="str">
        <f t="shared" si="43"/>
        <v>Sedang</v>
      </c>
      <c r="AC69" s="7" t="str">
        <f t="shared" si="44"/>
        <v>Ya</v>
      </c>
      <c r="AD69" s="7" t="s">
        <v>666</v>
      </c>
      <c r="AE69" s="7" t="s">
        <v>31</v>
      </c>
      <c r="AF69" s="7" t="str">
        <f t="shared" si="45"/>
        <v>Maksektomi</v>
      </c>
      <c r="AG69" s="8">
        <v>44971</v>
      </c>
      <c r="AH69" s="7" t="s">
        <v>559</v>
      </c>
      <c r="AI69" s="8">
        <v>44867</v>
      </c>
      <c r="AJ69" s="7" t="s">
        <v>667</v>
      </c>
      <c r="AK69" s="7" t="s">
        <v>668</v>
      </c>
      <c r="AL69" s="8">
        <v>44936</v>
      </c>
      <c r="AM69" s="7" t="s">
        <v>96</v>
      </c>
      <c r="AN69" s="8">
        <v>45050</v>
      </c>
      <c r="AO69" s="7" t="s">
        <v>669</v>
      </c>
      <c r="AP69" s="7">
        <v>30</v>
      </c>
      <c r="AQ69" s="8">
        <v>45110</v>
      </c>
      <c r="AR69" s="7" t="s">
        <v>670</v>
      </c>
      <c r="AS69" s="7" t="s">
        <v>671</v>
      </c>
      <c r="AT69" s="7" t="str">
        <f t="shared" si="23"/>
        <v>Tidak ada</v>
      </c>
      <c r="AU69" s="7" t="s">
        <v>672</v>
      </c>
      <c r="AV69" s="7" t="str">
        <f t="shared" si="24"/>
        <v>Tidak ada</v>
      </c>
      <c r="AW69" s="7" t="str">
        <f t="shared" si="25"/>
        <v>Efektif</v>
      </c>
      <c r="AX69" s="7" t="s">
        <v>673</v>
      </c>
    </row>
    <row r="70" spans="1:50" x14ac:dyDescent="0.35">
      <c r="A70" s="7">
        <v>14</v>
      </c>
      <c r="B70" s="7">
        <v>2011032</v>
      </c>
      <c r="C70" s="7" t="s">
        <v>674</v>
      </c>
      <c r="D70" s="21">
        <v>39</v>
      </c>
      <c r="E70" s="7" t="s">
        <v>675</v>
      </c>
      <c r="F70" s="7">
        <v>1.48</v>
      </c>
      <c r="G70" s="7" t="s">
        <v>222</v>
      </c>
      <c r="H70" s="7" t="s">
        <v>676</v>
      </c>
      <c r="I70" s="7" t="str">
        <f t="shared" si="26"/>
        <v>Ya</v>
      </c>
      <c r="J70" s="7" t="str">
        <f t="shared" si="27"/>
        <v>Tidak</v>
      </c>
      <c r="K70" s="7" t="str">
        <f t="shared" si="28"/>
        <v>Ya</v>
      </c>
      <c r="L70" s="7" t="str">
        <f t="shared" si="29"/>
        <v>Tidak</v>
      </c>
      <c r="M70" s="7" t="str">
        <f t="shared" si="30"/>
        <v>Tidak</v>
      </c>
      <c r="N70" s="7" t="str">
        <f t="shared" si="31"/>
        <v>Tidak</v>
      </c>
      <c r="O70" s="7" t="str">
        <f t="shared" si="32"/>
        <v>Tidak</v>
      </c>
      <c r="P70" s="7" t="str">
        <f t="shared" si="33"/>
        <v>Tidak</v>
      </c>
      <c r="Q70" s="7" t="str">
        <f t="shared" si="34"/>
        <v>Tidak</v>
      </c>
      <c r="R70" s="7" t="str">
        <f t="shared" si="35"/>
        <v>Tidak</v>
      </c>
      <c r="S70" s="7" t="str">
        <f t="shared" si="36"/>
        <v>Tidak</v>
      </c>
      <c r="T70" s="7" t="str">
        <f t="shared" si="37"/>
        <v>Tidak</v>
      </c>
      <c r="U70" s="7" t="str">
        <f t="shared" si="38"/>
        <v>Tidak</v>
      </c>
      <c r="V70" s="7" t="str">
        <f t="shared" si="39"/>
        <v>Tidak</v>
      </c>
      <c r="W70" s="7" t="str">
        <f t="shared" si="40"/>
        <v>Tidak</v>
      </c>
      <c r="X70" s="7" t="str">
        <f t="shared" si="41"/>
        <v>Tidak</v>
      </c>
      <c r="Y70" s="8">
        <v>44691</v>
      </c>
      <c r="Z70" s="7" t="s">
        <v>677</v>
      </c>
      <c r="AA70" s="7">
        <f t="shared" si="42"/>
        <v>3</v>
      </c>
      <c r="AB70" s="7" t="str">
        <f t="shared" si="43"/>
        <v>Menjalar ke kulit/dinding dada</v>
      </c>
      <c r="AC70" s="7" t="str">
        <f t="shared" si="44"/>
        <v>Ya</v>
      </c>
      <c r="AD70" s="7" t="s">
        <v>678</v>
      </c>
      <c r="AE70" s="7" t="s">
        <v>57</v>
      </c>
      <c r="AF70" s="7" t="str">
        <f t="shared" si="45"/>
        <v>Maksektomi</v>
      </c>
      <c r="AG70" s="8">
        <v>44811</v>
      </c>
      <c r="AH70" s="7" t="s">
        <v>559</v>
      </c>
      <c r="AI70" s="8">
        <v>44720</v>
      </c>
      <c r="AJ70" s="7" t="s">
        <v>679</v>
      </c>
      <c r="AK70" s="7" t="s">
        <v>680</v>
      </c>
      <c r="AL70" s="12">
        <v>44783</v>
      </c>
      <c r="AM70" s="7" t="s">
        <v>681</v>
      </c>
      <c r="AN70" s="8">
        <v>44971</v>
      </c>
      <c r="AO70" s="7" t="s">
        <v>669</v>
      </c>
      <c r="AP70" s="7">
        <v>30</v>
      </c>
      <c r="AQ70" s="8">
        <v>45016</v>
      </c>
      <c r="AR70" s="7" t="s">
        <v>682</v>
      </c>
      <c r="AS70" s="7" t="s">
        <v>683</v>
      </c>
      <c r="AT70" s="7" t="str">
        <f t="shared" si="23"/>
        <v>Tidak ada</v>
      </c>
      <c r="AU70" s="7" t="s">
        <v>684</v>
      </c>
      <c r="AV70" s="7" t="str">
        <f t="shared" si="24"/>
        <v>Tidak ada</v>
      </c>
      <c r="AW70" s="7" t="str">
        <f t="shared" si="25"/>
        <v>Efektif</v>
      </c>
      <c r="AX70" s="7" t="s">
        <v>673</v>
      </c>
    </row>
    <row r="71" spans="1:50" x14ac:dyDescent="0.35">
      <c r="A71" s="7">
        <v>15</v>
      </c>
      <c r="B71" s="7">
        <v>2015674</v>
      </c>
      <c r="C71" s="7" t="s">
        <v>685</v>
      </c>
      <c r="D71" s="21">
        <v>59</v>
      </c>
      <c r="E71" s="7" t="s">
        <v>686</v>
      </c>
      <c r="F71" s="7">
        <v>1.58</v>
      </c>
      <c r="G71" s="7" t="s">
        <v>222</v>
      </c>
      <c r="H71" s="7" t="s">
        <v>687</v>
      </c>
      <c r="I71" s="7" t="str">
        <f t="shared" si="26"/>
        <v>Ya</v>
      </c>
      <c r="J71" s="7" t="str">
        <f t="shared" si="27"/>
        <v>Tidak</v>
      </c>
      <c r="K71" s="7" t="str">
        <f t="shared" si="28"/>
        <v>Tidak</v>
      </c>
      <c r="L71" s="7" t="str">
        <f t="shared" si="29"/>
        <v>Tidak</v>
      </c>
      <c r="M71" s="7" t="str">
        <f t="shared" si="30"/>
        <v>Tidak</v>
      </c>
      <c r="N71" s="7" t="str">
        <f t="shared" si="31"/>
        <v>Tidak</v>
      </c>
      <c r="O71" s="7" t="str">
        <f t="shared" si="32"/>
        <v>Tidak</v>
      </c>
      <c r="P71" s="7" t="str">
        <f t="shared" si="33"/>
        <v>Tidak</v>
      </c>
      <c r="Q71" s="7" t="str">
        <f t="shared" si="34"/>
        <v>Tidak</v>
      </c>
      <c r="R71" s="7" t="str">
        <f t="shared" si="35"/>
        <v>Tidak</v>
      </c>
      <c r="S71" s="7" t="str">
        <f t="shared" si="36"/>
        <v>Ya</v>
      </c>
      <c r="T71" s="7" t="str">
        <f t="shared" si="37"/>
        <v>Tidak</v>
      </c>
      <c r="U71" s="7" t="str">
        <f t="shared" si="38"/>
        <v>Tidak</v>
      </c>
      <c r="V71" s="7" t="str">
        <f t="shared" si="39"/>
        <v>Tidak</v>
      </c>
      <c r="W71" s="7" t="str">
        <f t="shared" si="40"/>
        <v>Tidak</v>
      </c>
      <c r="X71" s="7" t="str">
        <f t="shared" si="41"/>
        <v>Tidak</v>
      </c>
      <c r="Y71" s="8">
        <v>44739</v>
      </c>
      <c r="Z71" s="7" t="s">
        <v>310</v>
      </c>
      <c r="AA71" s="7">
        <f t="shared" si="42"/>
        <v>3</v>
      </c>
      <c r="AB71" s="7" t="str">
        <f t="shared" si="43"/>
        <v>Besar</v>
      </c>
      <c r="AC71" s="7" t="str">
        <f t="shared" si="44"/>
        <v>Tidak</v>
      </c>
      <c r="AD71" s="7" t="s">
        <v>688</v>
      </c>
      <c r="AE71" s="7" t="s">
        <v>57</v>
      </c>
      <c r="AF71" s="7" t="str">
        <f t="shared" si="45"/>
        <v>Maksektomi</v>
      </c>
      <c r="AG71" s="8">
        <v>44811</v>
      </c>
      <c r="AH71" s="7" t="s">
        <v>559</v>
      </c>
      <c r="AI71" s="8">
        <v>44720</v>
      </c>
      <c r="AJ71" s="7" t="s">
        <v>689</v>
      </c>
      <c r="AK71" s="7" t="s">
        <v>690</v>
      </c>
      <c r="AL71" s="8">
        <v>44848</v>
      </c>
      <c r="AM71" s="7" t="s">
        <v>691</v>
      </c>
      <c r="AN71" s="8">
        <v>44977</v>
      </c>
      <c r="AO71" s="7" t="s">
        <v>488</v>
      </c>
      <c r="AP71" s="7">
        <v>25</v>
      </c>
      <c r="AQ71" s="8">
        <v>45014</v>
      </c>
      <c r="AR71" s="7" t="s">
        <v>692</v>
      </c>
      <c r="AS71" s="7" t="s">
        <v>693</v>
      </c>
      <c r="AT71" s="7" t="str">
        <f t="shared" si="23"/>
        <v>Tidak ada</v>
      </c>
      <c r="AU71" s="7" t="s">
        <v>694</v>
      </c>
      <c r="AV71" s="7" t="str">
        <f t="shared" si="24"/>
        <v>Tidak ada</v>
      </c>
      <c r="AW71" s="7" t="str">
        <f t="shared" si="25"/>
        <v>Efektif</v>
      </c>
      <c r="AX71" s="7" t="s">
        <v>673</v>
      </c>
    </row>
    <row r="72" spans="1:50" x14ac:dyDescent="0.35">
      <c r="A72" s="7">
        <v>16</v>
      </c>
      <c r="B72" s="7">
        <v>2009072</v>
      </c>
      <c r="C72" s="7" t="s">
        <v>695</v>
      </c>
      <c r="D72" s="21">
        <v>65</v>
      </c>
      <c r="E72" s="7" t="s">
        <v>696</v>
      </c>
      <c r="F72" s="7">
        <v>1.89</v>
      </c>
      <c r="G72" s="7" t="s">
        <v>576</v>
      </c>
      <c r="H72" s="7" t="s">
        <v>697</v>
      </c>
      <c r="I72" s="7" t="str">
        <f t="shared" si="26"/>
        <v>Ya</v>
      </c>
      <c r="J72" s="7" t="str">
        <f t="shared" si="27"/>
        <v>Tidak</v>
      </c>
      <c r="K72" s="7" t="str">
        <f t="shared" si="28"/>
        <v>Tidak</v>
      </c>
      <c r="L72" s="7" t="str">
        <f t="shared" si="29"/>
        <v>Tidak</v>
      </c>
      <c r="M72" s="7" t="str">
        <f t="shared" si="30"/>
        <v>Tidak</v>
      </c>
      <c r="N72" s="7" t="str">
        <f t="shared" si="31"/>
        <v>Tidak</v>
      </c>
      <c r="O72" s="7" t="str">
        <f t="shared" si="32"/>
        <v>Tidak</v>
      </c>
      <c r="P72" s="7" t="str">
        <f t="shared" si="33"/>
        <v>Tidak</v>
      </c>
      <c r="Q72" s="7" t="str">
        <f t="shared" si="34"/>
        <v>Tidak</v>
      </c>
      <c r="R72" s="7" t="str">
        <f t="shared" si="35"/>
        <v>Tidak</v>
      </c>
      <c r="S72" s="7" t="str">
        <f t="shared" si="36"/>
        <v>Tidak</v>
      </c>
      <c r="T72" s="7" t="str">
        <f t="shared" si="37"/>
        <v>Tidak</v>
      </c>
      <c r="U72" s="7" t="str">
        <f t="shared" si="38"/>
        <v>Tidak</v>
      </c>
      <c r="V72" s="7" t="str">
        <f t="shared" si="39"/>
        <v>Tidak</v>
      </c>
      <c r="W72" s="7" t="str">
        <f t="shared" si="40"/>
        <v>Tidak</v>
      </c>
      <c r="X72" s="7" t="str">
        <f t="shared" si="41"/>
        <v>Tidak</v>
      </c>
      <c r="Y72" s="8">
        <v>44607</v>
      </c>
      <c r="Z72" s="7" t="s">
        <v>665</v>
      </c>
      <c r="AA72" s="7">
        <f t="shared" si="42"/>
        <v>2</v>
      </c>
      <c r="AB72" s="7" t="str">
        <f t="shared" si="43"/>
        <v>Sedang</v>
      </c>
      <c r="AC72" s="7" t="str">
        <f t="shared" si="44"/>
        <v>Ya</v>
      </c>
      <c r="AD72" s="7" t="s">
        <v>698</v>
      </c>
      <c r="AE72" s="7"/>
      <c r="AF72" s="7" t="str">
        <f t="shared" si="45"/>
        <v>BCS</v>
      </c>
      <c r="AG72" s="8">
        <v>44759</v>
      </c>
      <c r="AH72" s="7" t="s">
        <v>588</v>
      </c>
      <c r="AI72" s="8">
        <v>44634</v>
      </c>
      <c r="AJ72" s="7" t="s">
        <v>699</v>
      </c>
      <c r="AK72" s="7" t="s">
        <v>72</v>
      </c>
      <c r="AL72" s="8">
        <v>44740</v>
      </c>
      <c r="AM72" s="7" t="s">
        <v>246</v>
      </c>
      <c r="AN72" s="8">
        <v>44865</v>
      </c>
      <c r="AO72" s="7" t="s">
        <v>488</v>
      </c>
      <c r="AP72" s="7">
        <v>25</v>
      </c>
      <c r="AQ72" s="8">
        <v>44900</v>
      </c>
      <c r="AR72" s="7" t="s">
        <v>700</v>
      </c>
      <c r="AS72" s="7" t="s">
        <v>701</v>
      </c>
      <c r="AT72" s="7" t="str">
        <f t="shared" si="23"/>
        <v>Tidak ada</v>
      </c>
      <c r="AU72" s="7" t="s">
        <v>702</v>
      </c>
      <c r="AV72" s="7" t="str">
        <f t="shared" si="24"/>
        <v>Ada</v>
      </c>
      <c r="AW72" s="7" t="str">
        <f t="shared" si="25"/>
        <v>Tidak Efektif</v>
      </c>
      <c r="AX72" s="7" t="s">
        <v>430</v>
      </c>
    </row>
    <row r="73" spans="1:50" ht="91.5" x14ac:dyDescent="0.35">
      <c r="A73" s="7">
        <v>17</v>
      </c>
      <c r="B73" s="7">
        <v>2008592</v>
      </c>
      <c r="C73" s="7" t="s">
        <v>703</v>
      </c>
      <c r="D73" s="21">
        <v>41</v>
      </c>
      <c r="E73" s="7" t="s">
        <v>704</v>
      </c>
      <c r="F73" s="7">
        <v>1.65</v>
      </c>
      <c r="G73" s="7" t="s">
        <v>222</v>
      </c>
      <c r="H73" s="22" t="s">
        <v>705</v>
      </c>
      <c r="I73" s="7" t="str">
        <f t="shared" si="26"/>
        <v>Tidak</v>
      </c>
      <c r="J73" s="7" t="str">
        <f t="shared" si="27"/>
        <v>Ya</v>
      </c>
      <c r="K73" s="7" t="str">
        <f t="shared" si="28"/>
        <v>Ya</v>
      </c>
      <c r="L73" s="7" t="str">
        <f t="shared" si="29"/>
        <v>Ya</v>
      </c>
      <c r="M73" s="7" t="str">
        <f t="shared" si="30"/>
        <v>Tidak</v>
      </c>
      <c r="N73" s="7" t="str">
        <f t="shared" si="31"/>
        <v>Tidak</v>
      </c>
      <c r="O73" s="7" t="str">
        <f t="shared" si="32"/>
        <v>Tidak</v>
      </c>
      <c r="P73" s="7" t="str">
        <f t="shared" si="33"/>
        <v>Tidak</v>
      </c>
      <c r="Q73" s="7" t="str">
        <f t="shared" si="34"/>
        <v>Tidak</v>
      </c>
      <c r="R73" s="7" t="str">
        <f t="shared" si="35"/>
        <v>Tidak</v>
      </c>
      <c r="S73" s="7" t="str">
        <f t="shared" si="36"/>
        <v>Tidak</v>
      </c>
      <c r="T73" s="7" t="str">
        <f t="shared" si="37"/>
        <v>Tidak</v>
      </c>
      <c r="U73" s="7" t="str">
        <f t="shared" si="38"/>
        <v>Tidak</v>
      </c>
      <c r="V73" s="7" t="str">
        <f t="shared" si="39"/>
        <v>Tidak</v>
      </c>
      <c r="W73" s="7" t="str">
        <f t="shared" si="40"/>
        <v>Tidak</v>
      </c>
      <c r="X73" s="7" t="str">
        <f t="shared" si="41"/>
        <v>Tidak</v>
      </c>
      <c r="Y73" s="8">
        <v>44663</v>
      </c>
      <c r="Z73" s="7" t="s">
        <v>184</v>
      </c>
      <c r="AA73" s="7">
        <f t="shared" si="42"/>
        <v>3</v>
      </c>
      <c r="AB73" s="7" t="str">
        <f t="shared" si="43"/>
        <v>Besar</v>
      </c>
      <c r="AC73" s="7" t="str">
        <f t="shared" si="44"/>
        <v>Tidak</v>
      </c>
      <c r="AD73" s="7" t="s">
        <v>706</v>
      </c>
      <c r="AE73" s="7" t="s">
        <v>57</v>
      </c>
      <c r="AF73" s="7" t="str">
        <f t="shared" si="45"/>
        <v>Maksektomi</v>
      </c>
      <c r="AG73" s="8">
        <v>44858</v>
      </c>
      <c r="AH73" s="7" t="s">
        <v>588</v>
      </c>
      <c r="AI73" s="8">
        <v>44735</v>
      </c>
      <c r="AJ73" s="7" t="s">
        <v>707</v>
      </c>
      <c r="AK73" s="7" t="s">
        <v>72</v>
      </c>
      <c r="AL73" s="8">
        <v>44840</v>
      </c>
      <c r="AM73" s="7" t="s">
        <v>708</v>
      </c>
      <c r="AN73" s="8">
        <v>44951</v>
      </c>
      <c r="AO73" s="7" t="s">
        <v>488</v>
      </c>
      <c r="AP73" s="7">
        <v>25</v>
      </c>
      <c r="AQ73" s="8">
        <v>45002</v>
      </c>
      <c r="AR73" s="7" t="s">
        <v>409</v>
      </c>
      <c r="AS73" s="7" t="s">
        <v>709</v>
      </c>
      <c r="AT73" s="7" t="str">
        <f t="shared" si="23"/>
        <v>Tidak ada</v>
      </c>
      <c r="AU73" s="7" t="s">
        <v>710</v>
      </c>
      <c r="AV73" s="7" t="str">
        <f t="shared" si="24"/>
        <v>Tidak ada</v>
      </c>
      <c r="AW73" s="7" t="str">
        <f t="shared" si="25"/>
        <v>Efektif</v>
      </c>
      <c r="AX73" s="7" t="s">
        <v>711</v>
      </c>
    </row>
    <row r="74" spans="1:50" x14ac:dyDescent="0.35">
      <c r="A74" s="7">
        <v>18</v>
      </c>
      <c r="B74" s="7">
        <v>2012074</v>
      </c>
      <c r="C74" s="7" t="s">
        <v>712</v>
      </c>
      <c r="D74" s="21">
        <v>66</v>
      </c>
      <c r="E74" s="7" t="s">
        <v>713</v>
      </c>
      <c r="F74" s="7">
        <v>1.27</v>
      </c>
      <c r="G74" s="7" t="s">
        <v>714</v>
      </c>
      <c r="H74" s="7"/>
      <c r="I74" s="7" t="str">
        <f t="shared" si="26"/>
        <v>Tidak</v>
      </c>
      <c r="J74" s="7" t="str">
        <f t="shared" si="27"/>
        <v>Tidak</v>
      </c>
      <c r="K74" s="7" t="str">
        <f t="shared" si="28"/>
        <v>Tidak</v>
      </c>
      <c r="L74" s="7" t="str">
        <f t="shared" si="29"/>
        <v>Tidak</v>
      </c>
      <c r="M74" s="7" t="str">
        <f t="shared" si="30"/>
        <v>Tidak</v>
      </c>
      <c r="N74" s="7" t="str">
        <f t="shared" si="31"/>
        <v>Tidak</v>
      </c>
      <c r="O74" s="7" t="str">
        <f t="shared" si="32"/>
        <v>Tidak</v>
      </c>
      <c r="P74" s="7" t="str">
        <f t="shared" si="33"/>
        <v>Tidak</v>
      </c>
      <c r="Q74" s="7" t="str">
        <f t="shared" si="34"/>
        <v>Tidak</v>
      </c>
      <c r="R74" s="7" t="str">
        <f t="shared" si="35"/>
        <v>Tidak</v>
      </c>
      <c r="S74" s="7" t="str">
        <f t="shared" si="36"/>
        <v>Tidak</v>
      </c>
      <c r="T74" s="7" t="str">
        <f t="shared" si="37"/>
        <v>Tidak</v>
      </c>
      <c r="U74" s="7" t="str">
        <f t="shared" si="38"/>
        <v>Tidak</v>
      </c>
      <c r="V74" s="7" t="str">
        <f t="shared" si="39"/>
        <v>Tidak</v>
      </c>
      <c r="W74" s="7" t="str">
        <f t="shared" si="40"/>
        <v>Tidak</v>
      </c>
      <c r="X74" s="7" t="str">
        <f t="shared" si="41"/>
        <v>Tidak</v>
      </c>
      <c r="Y74" s="8">
        <v>44700</v>
      </c>
      <c r="Z74" s="7" t="s">
        <v>715</v>
      </c>
      <c r="AA74" s="7">
        <f t="shared" si="42"/>
        <v>2</v>
      </c>
      <c r="AB74" s="7" t="str">
        <f t="shared" si="43"/>
        <v>Sedang</v>
      </c>
      <c r="AC74" s="7" t="str">
        <f t="shared" si="44"/>
        <v>Ya</v>
      </c>
      <c r="AD74" s="7" t="s">
        <v>716</v>
      </c>
      <c r="AE74" s="7" t="s">
        <v>31</v>
      </c>
      <c r="AF74" s="7" t="str">
        <f t="shared" si="45"/>
        <v>Maksektomi</v>
      </c>
      <c r="AG74" s="8">
        <v>44868</v>
      </c>
      <c r="AH74" s="7" t="s">
        <v>588</v>
      </c>
      <c r="AI74" s="8">
        <v>44754</v>
      </c>
      <c r="AJ74" s="7" t="s">
        <v>717</v>
      </c>
      <c r="AK74" s="7" t="s">
        <v>72</v>
      </c>
      <c r="AL74" s="8">
        <v>44852</v>
      </c>
      <c r="AM74" s="7" t="s">
        <v>285</v>
      </c>
      <c r="AN74" s="8">
        <v>44964</v>
      </c>
      <c r="AO74" s="7" t="s">
        <v>488</v>
      </c>
      <c r="AP74" s="7">
        <v>25</v>
      </c>
      <c r="AQ74" s="8">
        <v>45001</v>
      </c>
      <c r="AR74" s="7" t="s">
        <v>718</v>
      </c>
      <c r="AS74" s="7" t="s">
        <v>719</v>
      </c>
      <c r="AT74" s="7" t="str">
        <f t="shared" si="23"/>
        <v>Tidak ada</v>
      </c>
      <c r="AU74" s="7" t="s">
        <v>720</v>
      </c>
      <c r="AV74" s="7" t="str">
        <f t="shared" si="24"/>
        <v>Ada</v>
      </c>
      <c r="AW74" s="7" t="str">
        <f t="shared" si="25"/>
        <v>Tidak Efektif</v>
      </c>
      <c r="AX74" s="7" t="s">
        <v>721</v>
      </c>
    </row>
    <row r="75" spans="1:50" x14ac:dyDescent="0.35">
      <c r="A75" s="7">
        <v>19</v>
      </c>
      <c r="B75" s="7">
        <v>2012473</v>
      </c>
      <c r="C75" s="7" t="s">
        <v>722</v>
      </c>
      <c r="D75" s="21">
        <v>43</v>
      </c>
      <c r="E75" s="7" t="s">
        <v>723</v>
      </c>
      <c r="F75" s="7">
        <v>1.66</v>
      </c>
      <c r="G75" s="7" t="s">
        <v>27</v>
      </c>
      <c r="H75" s="7"/>
      <c r="I75" s="7" t="str">
        <f t="shared" si="26"/>
        <v>Tidak</v>
      </c>
      <c r="J75" s="7" t="str">
        <f t="shared" si="27"/>
        <v>Tidak</v>
      </c>
      <c r="K75" s="7" t="str">
        <f t="shared" si="28"/>
        <v>Tidak</v>
      </c>
      <c r="L75" s="7" t="str">
        <f t="shared" si="29"/>
        <v>Tidak</v>
      </c>
      <c r="M75" s="7" t="str">
        <f t="shared" si="30"/>
        <v>Tidak</v>
      </c>
      <c r="N75" s="7" t="str">
        <f t="shared" si="31"/>
        <v>Tidak</v>
      </c>
      <c r="O75" s="7" t="str">
        <f t="shared" si="32"/>
        <v>Tidak</v>
      </c>
      <c r="P75" s="7" t="str">
        <f t="shared" si="33"/>
        <v>Tidak</v>
      </c>
      <c r="Q75" s="7" t="str">
        <f t="shared" si="34"/>
        <v>Tidak</v>
      </c>
      <c r="R75" s="7" t="str">
        <f t="shared" si="35"/>
        <v>Tidak</v>
      </c>
      <c r="S75" s="7" t="str">
        <f t="shared" si="36"/>
        <v>Tidak</v>
      </c>
      <c r="T75" s="7" t="str">
        <f t="shared" si="37"/>
        <v>Tidak</v>
      </c>
      <c r="U75" s="7" t="str">
        <f t="shared" si="38"/>
        <v>Tidak</v>
      </c>
      <c r="V75" s="7" t="str">
        <f t="shared" si="39"/>
        <v>Tidak</v>
      </c>
      <c r="W75" s="7" t="str">
        <f t="shared" si="40"/>
        <v>Tidak</v>
      </c>
      <c r="X75" s="7" t="str">
        <f t="shared" si="41"/>
        <v>Tidak</v>
      </c>
      <c r="Y75" s="8">
        <v>44704</v>
      </c>
      <c r="Z75" s="7"/>
      <c r="AA75" s="7">
        <f t="shared" si="42"/>
        <v>1</v>
      </c>
      <c r="AB75" s="7" t="str">
        <f t="shared" si="43"/>
        <v>Tidak diketahui</v>
      </c>
      <c r="AC75" s="7" t="str">
        <f t="shared" si="44"/>
        <v>Tidak diketahui</v>
      </c>
      <c r="AD75" s="7" t="s">
        <v>724</v>
      </c>
      <c r="AE75" s="7" t="s">
        <v>31</v>
      </c>
      <c r="AF75" s="7" t="str">
        <f t="shared" si="45"/>
        <v>Maksektomi</v>
      </c>
      <c r="AG75" s="8">
        <v>44857</v>
      </c>
      <c r="AH75" s="7" t="s">
        <v>559</v>
      </c>
      <c r="AI75" s="8">
        <v>44725</v>
      </c>
      <c r="AJ75" s="7" t="s">
        <v>725</v>
      </c>
      <c r="AK75" s="7" t="s">
        <v>72</v>
      </c>
      <c r="AL75" s="8">
        <v>44838</v>
      </c>
      <c r="AM75" s="7" t="s">
        <v>285</v>
      </c>
      <c r="AN75" s="8">
        <v>44964</v>
      </c>
      <c r="AO75" s="7" t="s">
        <v>488</v>
      </c>
      <c r="AP75" s="7">
        <v>25</v>
      </c>
      <c r="AQ75" s="8">
        <v>45001</v>
      </c>
      <c r="AR75" s="7" t="s">
        <v>726</v>
      </c>
      <c r="AS75" s="7" t="s">
        <v>921</v>
      </c>
      <c r="AT75" s="7" t="str">
        <f t="shared" si="23"/>
        <v>Tidak ada</v>
      </c>
      <c r="AU75" s="7" t="s">
        <v>727</v>
      </c>
      <c r="AV75" s="7" t="str">
        <f t="shared" si="24"/>
        <v>Tidak ada</v>
      </c>
      <c r="AW75" s="7" t="str">
        <f t="shared" si="25"/>
        <v>Efektif</v>
      </c>
      <c r="AX75" s="7" t="s">
        <v>728</v>
      </c>
    </row>
    <row r="76" spans="1:50" x14ac:dyDescent="0.35">
      <c r="A76" s="7">
        <v>20</v>
      </c>
      <c r="B76" s="7">
        <v>2012034</v>
      </c>
      <c r="C76" s="7" t="s">
        <v>729</v>
      </c>
      <c r="D76" s="21">
        <v>44</v>
      </c>
      <c r="E76" s="7" t="s">
        <v>730</v>
      </c>
      <c r="F76" s="7">
        <v>2.4300000000000002</v>
      </c>
      <c r="G76" s="7" t="s">
        <v>27</v>
      </c>
      <c r="H76" s="7"/>
      <c r="I76" s="7" t="str">
        <f t="shared" si="26"/>
        <v>Tidak</v>
      </c>
      <c r="J76" s="7" t="str">
        <f t="shared" si="27"/>
        <v>Tidak</v>
      </c>
      <c r="K76" s="7" t="str">
        <f t="shared" si="28"/>
        <v>Tidak</v>
      </c>
      <c r="L76" s="7" t="str">
        <f t="shared" si="29"/>
        <v>Tidak</v>
      </c>
      <c r="M76" s="7" t="str">
        <f t="shared" si="30"/>
        <v>Tidak</v>
      </c>
      <c r="N76" s="7" t="str">
        <f t="shared" si="31"/>
        <v>Tidak</v>
      </c>
      <c r="O76" s="7" t="str">
        <f t="shared" si="32"/>
        <v>Tidak</v>
      </c>
      <c r="P76" s="7" t="str">
        <f t="shared" si="33"/>
        <v>Tidak</v>
      </c>
      <c r="Q76" s="7" t="str">
        <f t="shared" si="34"/>
        <v>Tidak</v>
      </c>
      <c r="R76" s="7" t="str">
        <f t="shared" si="35"/>
        <v>Tidak</v>
      </c>
      <c r="S76" s="7" t="str">
        <f t="shared" si="36"/>
        <v>Tidak</v>
      </c>
      <c r="T76" s="7" t="str">
        <f t="shared" si="37"/>
        <v>Tidak</v>
      </c>
      <c r="U76" s="7" t="str">
        <f t="shared" si="38"/>
        <v>Tidak</v>
      </c>
      <c r="V76" s="7" t="str">
        <f t="shared" si="39"/>
        <v>Tidak</v>
      </c>
      <c r="W76" s="7" t="str">
        <f t="shared" si="40"/>
        <v>Tidak</v>
      </c>
      <c r="X76" s="7" t="str">
        <f t="shared" si="41"/>
        <v>Tidak</v>
      </c>
      <c r="Y76" s="8">
        <v>44700</v>
      </c>
      <c r="Z76" s="7" t="s">
        <v>731</v>
      </c>
      <c r="AA76" s="7">
        <f t="shared" si="42"/>
        <v>3</v>
      </c>
      <c r="AB76" s="7" t="str">
        <f t="shared" si="43"/>
        <v>Menjalar ke kulit/dinding dada</v>
      </c>
      <c r="AC76" s="7" t="str">
        <f t="shared" si="44"/>
        <v>Ya</v>
      </c>
      <c r="AD76" s="7" t="s">
        <v>732</v>
      </c>
      <c r="AE76" s="7" t="s">
        <v>31</v>
      </c>
      <c r="AF76" s="7" t="str">
        <f t="shared" si="45"/>
        <v>Maksektomi</v>
      </c>
      <c r="AG76" s="8">
        <v>44882</v>
      </c>
      <c r="AH76" s="7" t="s">
        <v>559</v>
      </c>
      <c r="AI76" s="8">
        <v>44721</v>
      </c>
      <c r="AJ76" s="7" t="s">
        <v>733</v>
      </c>
      <c r="AK76" s="7" t="s">
        <v>284</v>
      </c>
      <c r="AL76" s="8">
        <v>44868</v>
      </c>
      <c r="AM76" s="7" t="s">
        <v>339</v>
      </c>
      <c r="AN76" s="8">
        <v>44978</v>
      </c>
      <c r="AO76" s="7" t="s">
        <v>488</v>
      </c>
      <c r="AP76" s="7">
        <v>25</v>
      </c>
      <c r="AQ76" s="8">
        <v>45015</v>
      </c>
      <c r="AR76" s="7" t="s">
        <v>734</v>
      </c>
      <c r="AS76" s="7" t="s">
        <v>735</v>
      </c>
      <c r="AT76" s="7" t="str">
        <f t="shared" si="23"/>
        <v>Tidak ada</v>
      </c>
      <c r="AU76" s="7" t="s">
        <v>736</v>
      </c>
      <c r="AV76" s="7" t="str">
        <f t="shared" si="24"/>
        <v>Tidak ada</v>
      </c>
      <c r="AW76" s="7" t="str">
        <f t="shared" si="25"/>
        <v>Efektif</v>
      </c>
      <c r="AX76" s="7" t="s">
        <v>737</v>
      </c>
    </row>
    <row r="77" spans="1:50" x14ac:dyDescent="0.35">
      <c r="A77" s="7">
        <v>21</v>
      </c>
      <c r="B77" s="7">
        <v>2017939</v>
      </c>
      <c r="C77" s="7" t="s">
        <v>738</v>
      </c>
      <c r="D77" s="21">
        <v>60</v>
      </c>
      <c r="E77" s="7" t="s">
        <v>739</v>
      </c>
      <c r="F77" s="7">
        <v>1.65</v>
      </c>
      <c r="G77" s="7" t="s">
        <v>222</v>
      </c>
      <c r="H77" s="7" t="s">
        <v>740</v>
      </c>
      <c r="I77" s="7" t="str">
        <f t="shared" si="26"/>
        <v>Ya</v>
      </c>
      <c r="J77" s="7" t="str">
        <f t="shared" si="27"/>
        <v>Tidak</v>
      </c>
      <c r="K77" s="7" t="str">
        <f t="shared" si="28"/>
        <v>Tidak</v>
      </c>
      <c r="L77" s="7" t="str">
        <f t="shared" si="29"/>
        <v>Tidak</v>
      </c>
      <c r="M77" s="7" t="str">
        <f t="shared" si="30"/>
        <v>Tidak</v>
      </c>
      <c r="N77" s="7" t="str">
        <f t="shared" si="31"/>
        <v>Tidak</v>
      </c>
      <c r="O77" s="7" t="str">
        <f t="shared" si="32"/>
        <v>Tidak</v>
      </c>
      <c r="P77" s="7" t="str">
        <f t="shared" si="33"/>
        <v>Tidak</v>
      </c>
      <c r="Q77" s="7" t="str">
        <f t="shared" si="34"/>
        <v>Tidak</v>
      </c>
      <c r="R77" s="7" t="str">
        <f t="shared" si="35"/>
        <v>Ya</v>
      </c>
      <c r="S77" s="7" t="str">
        <f t="shared" si="36"/>
        <v>Tidak</v>
      </c>
      <c r="T77" s="7" t="str">
        <f t="shared" si="37"/>
        <v>Tidak</v>
      </c>
      <c r="U77" s="7" t="str">
        <f t="shared" si="38"/>
        <v>Tidak</v>
      </c>
      <c r="V77" s="7" t="str">
        <f t="shared" si="39"/>
        <v>Tidak</v>
      </c>
      <c r="W77" s="7" t="str">
        <f t="shared" si="40"/>
        <v>Tidak</v>
      </c>
      <c r="X77" s="7" t="str">
        <f t="shared" si="41"/>
        <v>Tidak</v>
      </c>
      <c r="Y77" s="8">
        <v>44749</v>
      </c>
      <c r="Z77" s="7" t="s">
        <v>741</v>
      </c>
      <c r="AA77" s="7">
        <f t="shared" si="42"/>
        <v>3</v>
      </c>
      <c r="AB77" s="7" t="str">
        <f t="shared" si="43"/>
        <v>Menjalar ke kulit/dinding dada</v>
      </c>
      <c r="AC77" s="7" t="str">
        <f t="shared" si="44"/>
        <v>Ya</v>
      </c>
      <c r="AD77" s="7" t="s">
        <v>742</v>
      </c>
      <c r="AE77" s="7" t="s">
        <v>57</v>
      </c>
      <c r="AF77" s="7" t="str">
        <f t="shared" si="45"/>
        <v>Maksektomi</v>
      </c>
      <c r="AG77" s="8">
        <v>44882</v>
      </c>
      <c r="AH77" s="7" t="s">
        <v>559</v>
      </c>
      <c r="AI77" s="8">
        <v>44721</v>
      </c>
      <c r="AJ77" s="7" t="s">
        <v>743</v>
      </c>
      <c r="AK77" s="7" t="s">
        <v>284</v>
      </c>
      <c r="AL77" s="8">
        <v>44868</v>
      </c>
      <c r="AM77" s="7" t="s">
        <v>352</v>
      </c>
      <c r="AN77" s="8">
        <v>44984</v>
      </c>
      <c r="AO77" s="7" t="s">
        <v>488</v>
      </c>
      <c r="AP77" s="7">
        <v>25</v>
      </c>
      <c r="AQ77" s="8">
        <v>45027</v>
      </c>
      <c r="AR77" s="7" t="s">
        <v>744</v>
      </c>
      <c r="AS77" s="7" t="s">
        <v>745</v>
      </c>
      <c r="AT77" s="7" t="str">
        <f t="shared" si="23"/>
        <v>Tidak ada</v>
      </c>
      <c r="AU77" s="7" t="s">
        <v>746</v>
      </c>
      <c r="AV77" s="7" t="str">
        <f t="shared" si="24"/>
        <v>Tidak ada</v>
      </c>
      <c r="AW77" s="7" t="str">
        <f t="shared" si="25"/>
        <v>Efektif</v>
      </c>
      <c r="AX77" s="7" t="s">
        <v>747</v>
      </c>
    </row>
    <row r="78" spans="1:50" x14ac:dyDescent="0.35">
      <c r="A78" s="7">
        <v>22</v>
      </c>
      <c r="B78" s="7">
        <v>2015276</v>
      </c>
      <c r="C78" s="7" t="s">
        <v>748</v>
      </c>
      <c r="D78" s="21">
        <v>63</v>
      </c>
      <c r="E78" s="7" t="s">
        <v>749</v>
      </c>
      <c r="F78" s="7">
        <v>1.4</v>
      </c>
      <c r="G78" s="7" t="s">
        <v>68</v>
      </c>
      <c r="H78" s="7"/>
      <c r="I78" s="7" t="str">
        <f t="shared" si="26"/>
        <v>Tidak</v>
      </c>
      <c r="J78" s="7" t="str">
        <f t="shared" si="27"/>
        <v>Tidak</v>
      </c>
      <c r="K78" s="7" t="str">
        <f t="shared" si="28"/>
        <v>Tidak</v>
      </c>
      <c r="L78" s="7" t="str">
        <f t="shared" si="29"/>
        <v>Tidak</v>
      </c>
      <c r="M78" s="7" t="str">
        <f t="shared" si="30"/>
        <v>Tidak</v>
      </c>
      <c r="N78" s="7" t="str">
        <f t="shared" si="31"/>
        <v>Tidak</v>
      </c>
      <c r="O78" s="7" t="str">
        <f t="shared" si="32"/>
        <v>Tidak</v>
      </c>
      <c r="P78" s="7" t="str">
        <f t="shared" si="33"/>
        <v>Tidak</v>
      </c>
      <c r="Q78" s="7" t="str">
        <f t="shared" si="34"/>
        <v>Tidak</v>
      </c>
      <c r="R78" s="7" t="str">
        <f t="shared" si="35"/>
        <v>Tidak</v>
      </c>
      <c r="S78" s="7" t="str">
        <f t="shared" si="36"/>
        <v>Tidak</v>
      </c>
      <c r="T78" s="7" t="str">
        <f t="shared" si="37"/>
        <v>Tidak</v>
      </c>
      <c r="U78" s="7" t="str">
        <f t="shared" si="38"/>
        <v>Tidak</v>
      </c>
      <c r="V78" s="7" t="str">
        <f t="shared" si="39"/>
        <v>Tidak</v>
      </c>
      <c r="W78" s="7" t="str">
        <f t="shared" si="40"/>
        <v>Tidak</v>
      </c>
      <c r="X78" s="7" t="str">
        <f t="shared" si="41"/>
        <v>Tidak</v>
      </c>
      <c r="Y78" s="8">
        <v>44728</v>
      </c>
      <c r="Z78" s="7" t="s">
        <v>750</v>
      </c>
      <c r="AA78" s="7">
        <f t="shared" si="42"/>
        <v>3</v>
      </c>
      <c r="AB78" s="7" t="str">
        <f t="shared" si="43"/>
        <v>Menjalar ke kulit/dinding dada</v>
      </c>
      <c r="AC78" s="7" t="str">
        <f t="shared" si="44"/>
        <v>Tidak</v>
      </c>
      <c r="AD78" s="7" t="s">
        <v>751</v>
      </c>
      <c r="AE78" s="7" t="s">
        <v>57</v>
      </c>
      <c r="AF78" s="7" t="str">
        <f t="shared" si="45"/>
        <v>Maksektomi</v>
      </c>
      <c r="AG78" s="8">
        <v>44875</v>
      </c>
      <c r="AH78" s="7" t="s">
        <v>559</v>
      </c>
      <c r="AI78" s="8">
        <v>44750</v>
      </c>
      <c r="AJ78" s="7" t="s">
        <v>752</v>
      </c>
      <c r="AK78" s="7" t="s">
        <v>284</v>
      </c>
      <c r="AL78" s="8">
        <v>44855</v>
      </c>
      <c r="AM78" s="7" t="s">
        <v>753</v>
      </c>
      <c r="AN78" s="8">
        <v>44991</v>
      </c>
      <c r="AO78" s="7" t="s">
        <v>754</v>
      </c>
      <c r="AP78" s="7">
        <v>30</v>
      </c>
      <c r="AQ78" s="8">
        <v>45048</v>
      </c>
      <c r="AR78" s="7" t="s">
        <v>755</v>
      </c>
      <c r="AS78" s="7" t="s">
        <v>921</v>
      </c>
      <c r="AT78" s="7" t="str">
        <f t="shared" si="23"/>
        <v>Tidak ada</v>
      </c>
      <c r="AU78" s="7" t="s">
        <v>756</v>
      </c>
      <c r="AV78" s="7" t="str">
        <f t="shared" si="24"/>
        <v>Tidak ada</v>
      </c>
      <c r="AW78" s="7" t="str">
        <f t="shared" si="25"/>
        <v>Efektif</v>
      </c>
      <c r="AX78" s="7" t="s">
        <v>430</v>
      </c>
    </row>
    <row r="79" spans="1:50" x14ac:dyDescent="0.35">
      <c r="A79" s="7">
        <v>23</v>
      </c>
      <c r="B79" s="7">
        <v>2021146</v>
      </c>
      <c r="C79" s="7" t="s">
        <v>757</v>
      </c>
      <c r="D79" s="21">
        <v>55</v>
      </c>
      <c r="E79" s="7" t="s">
        <v>758</v>
      </c>
      <c r="F79" s="7">
        <v>1.77</v>
      </c>
      <c r="G79" s="7" t="s">
        <v>68</v>
      </c>
      <c r="H79" s="7"/>
      <c r="I79" s="7" t="str">
        <f t="shared" si="26"/>
        <v>Tidak</v>
      </c>
      <c r="J79" s="7" t="str">
        <f t="shared" si="27"/>
        <v>Tidak</v>
      </c>
      <c r="K79" s="7" t="str">
        <f t="shared" si="28"/>
        <v>Tidak</v>
      </c>
      <c r="L79" s="7" t="str">
        <f t="shared" si="29"/>
        <v>Tidak</v>
      </c>
      <c r="M79" s="7" t="str">
        <f t="shared" si="30"/>
        <v>Tidak</v>
      </c>
      <c r="N79" s="7" t="str">
        <f t="shared" si="31"/>
        <v>Tidak</v>
      </c>
      <c r="O79" s="7" t="str">
        <f t="shared" si="32"/>
        <v>Tidak</v>
      </c>
      <c r="P79" s="7" t="str">
        <f t="shared" si="33"/>
        <v>Tidak</v>
      </c>
      <c r="Q79" s="7" t="str">
        <f t="shared" si="34"/>
        <v>Tidak</v>
      </c>
      <c r="R79" s="7" t="str">
        <f t="shared" si="35"/>
        <v>Tidak</v>
      </c>
      <c r="S79" s="7" t="str">
        <f t="shared" si="36"/>
        <v>Tidak</v>
      </c>
      <c r="T79" s="7" t="str">
        <f t="shared" si="37"/>
        <v>Tidak</v>
      </c>
      <c r="U79" s="7" t="str">
        <f t="shared" si="38"/>
        <v>Tidak</v>
      </c>
      <c r="V79" s="7" t="str">
        <f t="shared" si="39"/>
        <v>Tidak</v>
      </c>
      <c r="W79" s="7" t="str">
        <f t="shared" si="40"/>
        <v>Tidak</v>
      </c>
      <c r="X79" s="7" t="str">
        <f t="shared" si="41"/>
        <v>Tidak</v>
      </c>
      <c r="Y79" s="8">
        <v>44816</v>
      </c>
      <c r="Z79" s="7" t="s">
        <v>292</v>
      </c>
      <c r="AA79" s="7">
        <f t="shared" si="42"/>
        <v>3</v>
      </c>
      <c r="AB79" s="7" t="str">
        <f t="shared" si="43"/>
        <v>Besar</v>
      </c>
      <c r="AC79" s="7" t="str">
        <f t="shared" si="44"/>
        <v>Ya</v>
      </c>
      <c r="AD79" s="7" t="s">
        <v>759</v>
      </c>
      <c r="AE79" s="7" t="s">
        <v>57</v>
      </c>
      <c r="AF79" s="7" t="str">
        <f t="shared" si="45"/>
        <v>Maksektomi</v>
      </c>
      <c r="AG79" s="8">
        <v>44955</v>
      </c>
      <c r="AH79" s="7" t="s">
        <v>559</v>
      </c>
      <c r="AI79" s="8">
        <v>44816</v>
      </c>
      <c r="AJ79" s="7" t="s">
        <v>760</v>
      </c>
      <c r="AK79" s="7" t="s">
        <v>107</v>
      </c>
      <c r="AL79" s="8">
        <v>44938</v>
      </c>
      <c r="AM79" s="7" t="s">
        <v>352</v>
      </c>
      <c r="AN79" s="8">
        <v>44998</v>
      </c>
      <c r="AO79" s="7" t="s">
        <v>761</v>
      </c>
      <c r="AP79" s="7">
        <v>10</v>
      </c>
      <c r="AQ79" s="8">
        <v>45014</v>
      </c>
      <c r="AR79" s="7" t="s">
        <v>275</v>
      </c>
      <c r="AS79" s="7" t="s">
        <v>762</v>
      </c>
      <c r="AT79" s="7" t="str">
        <f t="shared" si="23"/>
        <v>Tidak ada</v>
      </c>
      <c r="AU79" s="7" t="s">
        <v>921</v>
      </c>
      <c r="AV79" s="7" t="str">
        <f t="shared" si="24"/>
        <v>Tidak ada</v>
      </c>
      <c r="AW79" s="7" t="str">
        <f t="shared" si="25"/>
        <v>Efektif</v>
      </c>
      <c r="AX79" s="7" t="s">
        <v>763</v>
      </c>
    </row>
    <row r="80" spans="1:50" x14ac:dyDescent="0.35">
      <c r="A80" s="7">
        <v>24</v>
      </c>
      <c r="B80" s="7">
        <v>1069194</v>
      </c>
      <c r="C80" s="7" t="s">
        <v>764</v>
      </c>
      <c r="D80" s="21">
        <v>36</v>
      </c>
      <c r="E80" s="7" t="s">
        <v>765</v>
      </c>
      <c r="F80" s="7">
        <v>1.29</v>
      </c>
      <c r="G80" s="7" t="s">
        <v>68</v>
      </c>
      <c r="H80" s="7"/>
      <c r="I80" s="7" t="str">
        <f t="shared" si="26"/>
        <v>Tidak</v>
      </c>
      <c r="J80" s="7" t="str">
        <f t="shared" si="27"/>
        <v>Tidak</v>
      </c>
      <c r="K80" s="7" t="str">
        <f t="shared" si="28"/>
        <v>Tidak</v>
      </c>
      <c r="L80" s="7" t="str">
        <f t="shared" si="29"/>
        <v>Tidak</v>
      </c>
      <c r="M80" s="7" t="str">
        <f t="shared" si="30"/>
        <v>Tidak</v>
      </c>
      <c r="N80" s="7" t="str">
        <f t="shared" si="31"/>
        <v>Tidak</v>
      </c>
      <c r="O80" s="7" t="str">
        <f t="shared" si="32"/>
        <v>Tidak</v>
      </c>
      <c r="P80" s="7" t="str">
        <f t="shared" si="33"/>
        <v>Tidak</v>
      </c>
      <c r="Q80" s="7" t="str">
        <f t="shared" si="34"/>
        <v>Tidak</v>
      </c>
      <c r="R80" s="7" t="str">
        <f t="shared" si="35"/>
        <v>Tidak</v>
      </c>
      <c r="S80" s="7" t="str">
        <f t="shared" si="36"/>
        <v>Tidak</v>
      </c>
      <c r="T80" s="7" t="str">
        <f t="shared" si="37"/>
        <v>Tidak</v>
      </c>
      <c r="U80" s="7" t="str">
        <f t="shared" si="38"/>
        <v>Tidak</v>
      </c>
      <c r="V80" s="7" t="str">
        <f t="shared" si="39"/>
        <v>Tidak</v>
      </c>
      <c r="W80" s="7" t="str">
        <f t="shared" si="40"/>
        <v>Tidak</v>
      </c>
      <c r="X80" s="7" t="str">
        <f t="shared" si="41"/>
        <v>Tidak</v>
      </c>
      <c r="Y80" s="8">
        <v>44711</v>
      </c>
      <c r="Z80" s="7" t="s">
        <v>766</v>
      </c>
      <c r="AA80" s="7">
        <f t="shared" si="42"/>
        <v>3</v>
      </c>
      <c r="AB80" s="7" t="str">
        <f t="shared" si="43"/>
        <v>Menjalar ke kulit/dinding dada</v>
      </c>
      <c r="AC80" s="7" t="str">
        <f t="shared" si="44"/>
        <v>Ya</v>
      </c>
      <c r="AD80" s="7" t="s">
        <v>767</v>
      </c>
      <c r="AE80" s="7" t="s">
        <v>57</v>
      </c>
      <c r="AF80" s="7" t="str">
        <f t="shared" si="45"/>
        <v>Maksektomi</v>
      </c>
      <c r="AG80" s="8">
        <v>44816</v>
      </c>
      <c r="AH80" s="7" t="s">
        <v>559</v>
      </c>
      <c r="AI80" s="8">
        <v>44725</v>
      </c>
      <c r="AJ80" s="7" t="s">
        <v>768</v>
      </c>
      <c r="AK80" s="7" t="s">
        <v>107</v>
      </c>
      <c r="AL80" s="8">
        <v>44872</v>
      </c>
      <c r="AM80" s="7" t="s">
        <v>769</v>
      </c>
      <c r="AN80" s="8">
        <v>45014</v>
      </c>
      <c r="AO80" s="7" t="s">
        <v>488</v>
      </c>
      <c r="AP80" s="7">
        <v>25</v>
      </c>
      <c r="AQ80" s="8">
        <v>45061</v>
      </c>
      <c r="AR80" s="7" t="s">
        <v>275</v>
      </c>
      <c r="AS80" s="7" t="s">
        <v>770</v>
      </c>
      <c r="AT80" s="7" t="str">
        <f t="shared" si="23"/>
        <v>Tidak ada</v>
      </c>
      <c r="AU80" s="7" t="s">
        <v>771</v>
      </c>
      <c r="AV80" s="7" t="str">
        <f t="shared" si="24"/>
        <v>Ada</v>
      </c>
      <c r="AW80" s="7" t="str">
        <f t="shared" si="25"/>
        <v>Tidak Efektif</v>
      </c>
      <c r="AX80" s="7" t="s">
        <v>772</v>
      </c>
    </row>
    <row r="81" spans="1:50" x14ac:dyDescent="0.35">
      <c r="A81" s="7">
        <v>26</v>
      </c>
      <c r="B81" s="7">
        <v>2022111</v>
      </c>
      <c r="C81" s="7" t="s">
        <v>773</v>
      </c>
      <c r="D81" s="21">
        <v>49</v>
      </c>
      <c r="E81" s="7" t="s">
        <v>774</v>
      </c>
      <c r="F81" s="7">
        <v>1.38</v>
      </c>
      <c r="G81" s="7" t="s">
        <v>27</v>
      </c>
      <c r="H81" s="7"/>
      <c r="I81" s="7" t="str">
        <f t="shared" si="26"/>
        <v>Tidak</v>
      </c>
      <c r="J81" s="7" t="str">
        <f t="shared" si="27"/>
        <v>Tidak</v>
      </c>
      <c r="K81" s="7" t="str">
        <f t="shared" si="28"/>
        <v>Tidak</v>
      </c>
      <c r="L81" s="7" t="str">
        <f t="shared" si="29"/>
        <v>Tidak</v>
      </c>
      <c r="M81" s="7" t="str">
        <f t="shared" si="30"/>
        <v>Tidak</v>
      </c>
      <c r="N81" s="7" t="str">
        <f t="shared" si="31"/>
        <v>Tidak</v>
      </c>
      <c r="O81" s="7" t="str">
        <f t="shared" si="32"/>
        <v>Tidak</v>
      </c>
      <c r="P81" s="7" t="str">
        <f t="shared" si="33"/>
        <v>Tidak</v>
      </c>
      <c r="Q81" s="7" t="str">
        <f t="shared" si="34"/>
        <v>Tidak</v>
      </c>
      <c r="R81" s="7" t="str">
        <f t="shared" si="35"/>
        <v>Tidak</v>
      </c>
      <c r="S81" s="7" t="str">
        <f t="shared" si="36"/>
        <v>Tidak</v>
      </c>
      <c r="T81" s="7" t="str">
        <f t="shared" si="37"/>
        <v>Tidak</v>
      </c>
      <c r="U81" s="7" t="str">
        <f t="shared" si="38"/>
        <v>Tidak</v>
      </c>
      <c r="V81" s="7" t="str">
        <f t="shared" si="39"/>
        <v>Tidak</v>
      </c>
      <c r="W81" s="7" t="str">
        <f t="shared" si="40"/>
        <v>Tidak</v>
      </c>
      <c r="X81" s="7" t="str">
        <f t="shared" si="41"/>
        <v>Tidak</v>
      </c>
      <c r="Y81" s="8">
        <v>44782</v>
      </c>
      <c r="Z81" s="7" t="s">
        <v>775</v>
      </c>
      <c r="AA81" s="7">
        <f t="shared" si="42"/>
        <v>2</v>
      </c>
      <c r="AB81" s="7" t="str">
        <f t="shared" si="43"/>
        <v>Sedang</v>
      </c>
      <c r="AC81" s="7" t="str">
        <f t="shared" si="44"/>
        <v>Ya</v>
      </c>
      <c r="AD81" s="7" t="s">
        <v>776</v>
      </c>
      <c r="AE81" s="7" t="s">
        <v>127</v>
      </c>
      <c r="AF81" s="7" t="str">
        <f t="shared" si="45"/>
        <v>Maksektomi</v>
      </c>
      <c r="AG81" s="8">
        <v>44942</v>
      </c>
      <c r="AH81" s="7" t="s">
        <v>588</v>
      </c>
      <c r="AI81" s="8">
        <v>44811</v>
      </c>
      <c r="AJ81" s="7" t="s">
        <v>777</v>
      </c>
      <c r="AK81" s="7" t="s">
        <v>107</v>
      </c>
      <c r="AL81" s="8">
        <v>44916</v>
      </c>
      <c r="AM81" s="7" t="s">
        <v>778</v>
      </c>
      <c r="AN81" s="8">
        <v>45075</v>
      </c>
      <c r="AO81" s="7" t="s">
        <v>779</v>
      </c>
      <c r="AP81" s="7">
        <v>30</v>
      </c>
      <c r="AQ81" s="8">
        <v>45125</v>
      </c>
      <c r="AR81" s="7" t="s">
        <v>275</v>
      </c>
      <c r="AS81" s="7" t="s">
        <v>780</v>
      </c>
      <c r="AT81" s="7" t="str">
        <f t="shared" si="23"/>
        <v>Tidak ada</v>
      </c>
      <c r="AU81" s="7" t="s">
        <v>781</v>
      </c>
      <c r="AV81" s="7" t="str">
        <f t="shared" si="24"/>
        <v>Tidak ada</v>
      </c>
      <c r="AW81" s="7" t="str">
        <f t="shared" si="25"/>
        <v>Efektif</v>
      </c>
      <c r="AX81" s="7" t="s">
        <v>782</v>
      </c>
    </row>
    <row r="82" spans="1:50" x14ac:dyDescent="0.35">
      <c r="A82" s="7">
        <v>27</v>
      </c>
      <c r="B82" s="7">
        <v>2031540</v>
      </c>
      <c r="C82" s="7" t="s">
        <v>783</v>
      </c>
      <c r="D82" s="21">
        <v>35</v>
      </c>
      <c r="E82" s="7" t="s">
        <v>784</v>
      </c>
      <c r="F82" s="7">
        <v>1.64</v>
      </c>
      <c r="G82" s="7" t="s">
        <v>68</v>
      </c>
      <c r="H82" s="7"/>
      <c r="I82" s="7" t="str">
        <f t="shared" si="26"/>
        <v>Tidak</v>
      </c>
      <c r="J82" s="7" t="str">
        <f t="shared" si="27"/>
        <v>Tidak</v>
      </c>
      <c r="K82" s="7" t="str">
        <f t="shared" si="28"/>
        <v>Tidak</v>
      </c>
      <c r="L82" s="7" t="str">
        <f t="shared" si="29"/>
        <v>Tidak</v>
      </c>
      <c r="M82" s="7" t="str">
        <f t="shared" si="30"/>
        <v>Tidak</v>
      </c>
      <c r="N82" s="7" t="str">
        <f t="shared" si="31"/>
        <v>Tidak</v>
      </c>
      <c r="O82" s="7" t="str">
        <f t="shared" si="32"/>
        <v>Tidak</v>
      </c>
      <c r="P82" s="7" t="str">
        <f t="shared" si="33"/>
        <v>Tidak</v>
      </c>
      <c r="Q82" s="7" t="str">
        <f t="shared" si="34"/>
        <v>Tidak</v>
      </c>
      <c r="R82" s="7" t="str">
        <f t="shared" si="35"/>
        <v>Tidak</v>
      </c>
      <c r="S82" s="7" t="str">
        <f t="shared" si="36"/>
        <v>Tidak</v>
      </c>
      <c r="T82" s="7" t="str">
        <f t="shared" si="37"/>
        <v>Tidak</v>
      </c>
      <c r="U82" s="7" t="str">
        <f t="shared" si="38"/>
        <v>Tidak</v>
      </c>
      <c r="V82" s="7" t="str">
        <f t="shared" si="39"/>
        <v>Tidak</v>
      </c>
      <c r="W82" s="7" t="str">
        <f t="shared" si="40"/>
        <v>Tidak</v>
      </c>
      <c r="X82" s="7" t="str">
        <f t="shared" si="41"/>
        <v>Tidak</v>
      </c>
      <c r="Y82" s="8">
        <v>44858</v>
      </c>
      <c r="Z82" s="7" t="s">
        <v>184</v>
      </c>
      <c r="AA82" s="7">
        <f t="shared" si="42"/>
        <v>3</v>
      </c>
      <c r="AB82" s="7" t="str">
        <f t="shared" si="43"/>
        <v>Besar</v>
      </c>
      <c r="AC82" s="7" t="str">
        <f t="shared" si="44"/>
        <v>Tidak</v>
      </c>
      <c r="AD82" s="7" t="s">
        <v>785</v>
      </c>
      <c r="AE82" s="7" t="s">
        <v>57</v>
      </c>
      <c r="AF82" s="7" t="str">
        <f t="shared" si="45"/>
        <v>Maksektomi</v>
      </c>
      <c r="AG82" s="8">
        <v>45008</v>
      </c>
      <c r="AH82" s="7" t="s">
        <v>559</v>
      </c>
      <c r="AI82" s="8">
        <v>44883</v>
      </c>
      <c r="AJ82" s="7" t="s">
        <v>786</v>
      </c>
      <c r="AK82" s="7" t="s">
        <v>107</v>
      </c>
      <c r="AL82" s="8">
        <v>44988</v>
      </c>
      <c r="AM82" s="7" t="s">
        <v>352</v>
      </c>
      <c r="AN82" s="8">
        <v>45089</v>
      </c>
      <c r="AO82" s="7" t="s">
        <v>488</v>
      </c>
      <c r="AP82" s="7">
        <v>23</v>
      </c>
      <c r="AQ82" s="8">
        <v>45131</v>
      </c>
      <c r="AR82" s="7" t="s">
        <v>787</v>
      </c>
      <c r="AS82" s="7" t="s">
        <v>788</v>
      </c>
      <c r="AT82" s="7" t="str">
        <f t="shared" si="23"/>
        <v>Tidak ada</v>
      </c>
      <c r="AU82" s="7" t="s">
        <v>789</v>
      </c>
      <c r="AV82" s="7" t="str">
        <f t="shared" si="24"/>
        <v>Tidak ada</v>
      </c>
      <c r="AW82" s="7" t="str">
        <f t="shared" si="25"/>
        <v>Efektif</v>
      </c>
      <c r="AX82" s="7" t="s">
        <v>790</v>
      </c>
    </row>
    <row r="83" spans="1:50" x14ac:dyDescent="0.35">
      <c r="A83" s="16">
        <v>29</v>
      </c>
      <c r="B83" s="16">
        <v>2028513</v>
      </c>
      <c r="C83" s="16" t="s">
        <v>791</v>
      </c>
      <c r="D83" s="21">
        <v>49</v>
      </c>
      <c r="E83" s="16" t="s">
        <v>792</v>
      </c>
      <c r="F83" s="16">
        <v>1.49</v>
      </c>
      <c r="G83" s="16" t="s">
        <v>397</v>
      </c>
      <c r="H83" s="16" t="s">
        <v>793</v>
      </c>
      <c r="I83" s="7" t="str">
        <f t="shared" si="26"/>
        <v>Tidak</v>
      </c>
      <c r="J83" s="7" t="str">
        <f t="shared" si="27"/>
        <v>Tidak</v>
      </c>
      <c r="K83" s="7" t="str">
        <f t="shared" si="28"/>
        <v>Tidak</v>
      </c>
      <c r="L83" s="7" t="str">
        <f t="shared" si="29"/>
        <v>Ya</v>
      </c>
      <c r="M83" s="7" t="str">
        <f t="shared" si="30"/>
        <v>Tidak</v>
      </c>
      <c r="N83" s="7" t="str">
        <f t="shared" si="31"/>
        <v>Tidak</v>
      </c>
      <c r="O83" s="7" t="str">
        <f t="shared" si="32"/>
        <v>Tidak</v>
      </c>
      <c r="P83" s="7" t="str">
        <f t="shared" si="33"/>
        <v>Ya</v>
      </c>
      <c r="Q83" s="7" t="str">
        <f t="shared" si="34"/>
        <v>Tidak</v>
      </c>
      <c r="R83" s="7" t="str">
        <f t="shared" si="35"/>
        <v>Tidak</v>
      </c>
      <c r="S83" s="7" t="str">
        <f t="shared" si="36"/>
        <v>Tidak</v>
      </c>
      <c r="T83" s="7" t="str">
        <f t="shared" si="37"/>
        <v>Tidak</v>
      </c>
      <c r="U83" s="7" t="str">
        <f t="shared" si="38"/>
        <v>Tidak</v>
      </c>
      <c r="V83" s="7" t="str">
        <f t="shared" si="39"/>
        <v>Tidak</v>
      </c>
      <c r="W83" s="7" t="str">
        <f t="shared" si="40"/>
        <v>Tidak</v>
      </c>
      <c r="X83" s="7" t="str">
        <f t="shared" si="41"/>
        <v>Tidak</v>
      </c>
      <c r="Y83" s="17">
        <v>44832</v>
      </c>
      <c r="Z83" s="16" t="s">
        <v>794</v>
      </c>
      <c r="AA83" s="7">
        <f t="shared" si="42"/>
        <v>2</v>
      </c>
      <c r="AB83" s="7" t="str">
        <f t="shared" si="43"/>
        <v>Kecil</v>
      </c>
      <c r="AC83" s="7" t="str">
        <f t="shared" si="44"/>
        <v>Ya</v>
      </c>
      <c r="AD83" s="16" t="s">
        <v>795</v>
      </c>
      <c r="AE83" s="16" t="s">
        <v>57</v>
      </c>
      <c r="AF83" s="7" t="str">
        <f t="shared" si="45"/>
        <v>Maksektomi</v>
      </c>
      <c r="AG83" s="17">
        <v>45018</v>
      </c>
      <c r="AH83" s="16" t="s">
        <v>559</v>
      </c>
      <c r="AI83" s="17">
        <v>44907</v>
      </c>
      <c r="AJ83" s="16" t="s">
        <v>796</v>
      </c>
      <c r="AK83" s="16" t="s">
        <v>34</v>
      </c>
      <c r="AL83" s="17">
        <v>44995</v>
      </c>
      <c r="AM83" s="16" t="s">
        <v>140</v>
      </c>
      <c r="AN83" s="17">
        <v>45138</v>
      </c>
      <c r="AO83" s="7" t="s">
        <v>488</v>
      </c>
      <c r="AP83" s="16">
        <v>25</v>
      </c>
      <c r="AQ83" s="3">
        <v>45176</v>
      </c>
      <c r="AR83" s="16" t="s">
        <v>797</v>
      </c>
      <c r="AS83" s="16" t="s">
        <v>798</v>
      </c>
      <c r="AT83" s="7" t="str">
        <f t="shared" si="23"/>
        <v>Tidak ada</v>
      </c>
      <c r="AU83" s="16" t="s">
        <v>799</v>
      </c>
      <c r="AV83" s="7" t="str">
        <f t="shared" si="24"/>
        <v>Tidak ada</v>
      </c>
      <c r="AW83" s="7" t="str">
        <f t="shared" si="25"/>
        <v>Efektif</v>
      </c>
      <c r="AX83" s="16"/>
    </row>
    <row r="84" spans="1:50" x14ac:dyDescent="0.35">
      <c r="A84" s="18">
        <v>30</v>
      </c>
      <c r="B84" s="18">
        <v>2024613</v>
      </c>
      <c r="C84" s="18" t="s">
        <v>800</v>
      </c>
      <c r="D84" s="21">
        <v>47</v>
      </c>
      <c r="E84" s="18" t="s">
        <v>801</v>
      </c>
      <c r="F84" s="18">
        <v>1.53</v>
      </c>
      <c r="G84" s="18" t="s">
        <v>714</v>
      </c>
      <c r="H84" s="18" t="s">
        <v>802</v>
      </c>
      <c r="I84" s="7" t="str">
        <f t="shared" si="26"/>
        <v>Ya</v>
      </c>
      <c r="J84" s="7" t="str">
        <f t="shared" si="27"/>
        <v>Tidak</v>
      </c>
      <c r="K84" s="7" t="str">
        <f t="shared" si="28"/>
        <v>Tidak</v>
      </c>
      <c r="L84" s="7" t="str">
        <f t="shared" si="29"/>
        <v>Tidak</v>
      </c>
      <c r="M84" s="7" t="str">
        <f t="shared" si="30"/>
        <v>Tidak</v>
      </c>
      <c r="N84" s="7" t="str">
        <f t="shared" si="31"/>
        <v>Tidak</v>
      </c>
      <c r="O84" s="7" t="str">
        <f t="shared" si="32"/>
        <v>Tidak</v>
      </c>
      <c r="P84" s="7" t="str">
        <f t="shared" si="33"/>
        <v>Tidak</v>
      </c>
      <c r="Q84" s="7" t="str">
        <f t="shared" si="34"/>
        <v>Tidak</v>
      </c>
      <c r="R84" s="7" t="str">
        <f t="shared" si="35"/>
        <v>Tidak</v>
      </c>
      <c r="S84" s="7" t="str">
        <f t="shared" si="36"/>
        <v>Tidak</v>
      </c>
      <c r="T84" s="7" t="str">
        <f t="shared" si="37"/>
        <v>Tidak</v>
      </c>
      <c r="U84" s="7" t="str">
        <f t="shared" si="38"/>
        <v>Tidak</v>
      </c>
      <c r="V84" s="7" t="str">
        <f t="shared" si="39"/>
        <v>Tidak</v>
      </c>
      <c r="W84" s="7" t="str">
        <f t="shared" si="40"/>
        <v>Tidak</v>
      </c>
      <c r="X84" s="7" t="str">
        <f t="shared" si="41"/>
        <v>Tidak</v>
      </c>
      <c r="Y84" s="19">
        <v>44803</v>
      </c>
      <c r="Z84" s="18" t="s">
        <v>434</v>
      </c>
      <c r="AA84" s="7">
        <f t="shared" si="42"/>
        <v>3</v>
      </c>
      <c r="AB84" s="7" t="str">
        <f t="shared" si="43"/>
        <v>Besar</v>
      </c>
      <c r="AC84" s="7" t="str">
        <f t="shared" si="44"/>
        <v>Tidak</v>
      </c>
      <c r="AD84" s="18" t="s">
        <v>803</v>
      </c>
      <c r="AE84" s="18" t="s">
        <v>31</v>
      </c>
      <c r="AF84" s="7" t="str">
        <f t="shared" si="45"/>
        <v>Maksektomi</v>
      </c>
      <c r="AG84" s="19">
        <v>44915</v>
      </c>
      <c r="AH84" s="18" t="s">
        <v>588</v>
      </c>
      <c r="AI84" s="18" t="s">
        <v>804</v>
      </c>
      <c r="AJ84" s="18" t="s">
        <v>805</v>
      </c>
      <c r="AK84" s="18" t="s">
        <v>389</v>
      </c>
      <c r="AL84" s="19">
        <v>44900</v>
      </c>
      <c r="AM84" s="18" t="s">
        <v>169</v>
      </c>
      <c r="AN84" s="19">
        <v>45163</v>
      </c>
      <c r="AO84" s="18" t="s">
        <v>806</v>
      </c>
      <c r="AP84" s="18">
        <v>30</v>
      </c>
      <c r="AQ84" s="19">
        <v>45212</v>
      </c>
      <c r="AR84" s="18" t="s">
        <v>807</v>
      </c>
      <c r="AS84" s="18" t="s">
        <v>808</v>
      </c>
      <c r="AT84" s="7" t="str">
        <f t="shared" si="23"/>
        <v>Tidak ada</v>
      </c>
      <c r="AU84" s="18" t="s">
        <v>809</v>
      </c>
      <c r="AV84" s="7" t="str">
        <f t="shared" si="24"/>
        <v>Tidak ada</v>
      </c>
      <c r="AW84" s="7" t="str">
        <f t="shared" si="25"/>
        <v>Efektif</v>
      </c>
      <c r="AX84" s="18" t="s">
        <v>537</v>
      </c>
    </row>
    <row r="85" spans="1:50" ht="15.5" x14ac:dyDescent="0.35">
      <c r="A85" s="18">
        <v>31</v>
      </c>
      <c r="B85" s="18">
        <v>2034515</v>
      </c>
      <c r="C85" s="18" t="s">
        <v>810</v>
      </c>
      <c r="D85" s="21">
        <v>59</v>
      </c>
      <c r="E85" s="18" t="s">
        <v>811</v>
      </c>
      <c r="F85" s="18">
        <v>1.31</v>
      </c>
      <c r="G85" s="18" t="s">
        <v>714</v>
      </c>
      <c r="H85" s="18" t="s">
        <v>812</v>
      </c>
      <c r="I85" s="7" t="str">
        <f t="shared" si="26"/>
        <v>Tidak</v>
      </c>
      <c r="J85" s="7" t="str">
        <f t="shared" si="27"/>
        <v>Tidak</v>
      </c>
      <c r="K85" s="7" t="str">
        <f t="shared" si="28"/>
        <v>Tidak</v>
      </c>
      <c r="L85" s="7" t="str">
        <f t="shared" si="29"/>
        <v>Tidak</v>
      </c>
      <c r="M85" s="7" t="str">
        <f t="shared" si="30"/>
        <v>Tidak</v>
      </c>
      <c r="N85" s="7" t="str">
        <f t="shared" si="31"/>
        <v>Tidak</v>
      </c>
      <c r="O85" s="7" t="str">
        <f t="shared" si="32"/>
        <v>Ya</v>
      </c>
      <c r="P85" s="7" t="str">
        <f t="shared" si="33"/>
        <v>Tidak</v>
      </c>
      <c r="Q85" s="7" t="str">
        <f t="shared" si="34"/>
        <v>Tidak</v>
      </c>
      <c r="R85" s="7" t="str">
        <f t="shared" si="35"/>
        <v>Tidak</v>
      </c>
      <c r="S85" s="7" t="str">
        <f t="shared" si="36"/>
        <v>Tidak</v>
      </c>
      <c r="T85" s="7" t="str">
        <f t="shared" si="37"/>
        <v>Tidak</v>
      </c>
      <c r="U85" s="7" t="str">
        <f t="shared" si="38"/>
        <v>Tidak</v>
      </c>
      <c r="V85" s="7" t="str">
        <f t="shared" si="39"/>
        <v>Tidak</v>
      </c>
      <c r="W85" s="7" t="str">
        <f t="shared" si="40"/>
        <v>Tidak</v>
      </c>
      <c r="X85" s="7" t="str">
        <f t="shared" si="41"/>
        <v>Tidak</v>
      </c>
      <c r="Y85" s="19">
        <v>44876</v>
      </c>
      <c r="Z85" s="18" t="s">
        <v>813</v>
      </c>
      <c r="AA85" s="7">
        <f t="shared" si="42"/>
        <v>3</v>
      </c>
      <c r="AB85" s="7" t="str">
        <f t="shared" si="43"/>
        <v>Menjalar ke kulit/dinding dada</v>
      </c>
      <c r="AC85" s="7" t="str">
        <f t="shared" si="44"/>
        <v>Ya</v>
      </c>
      <c r="AD85" s="18" t="s">
        <v>814</v>
      </c>
      <c r="AE85" s="18" t="s">
        <v>31</v>
      </c>
      <c r="AF85" s="7" t="str">
        <f t="shared" si="45"/>
        <v>Maksektomi</v>
      </c>
      <c r="AG85" s="19">
        <v>45088</v>
      </c>
      <c r="AH85" s="18" t="s">
        <v>588</v>
      </c>
      <c r="AI85" s="19">
        <v>44897</v>
      </c>
      <c r="AJ85" s="18" t="s">
        <v>815</v>
      </c>
      <c r="AK85" s="18" t="s">
        <v>284</v>
      </c>
      <c r="AL85" s="19">
        <v>45056</v>
      </c>
      <c r="AM85" s="18" t="s">
        <v>169</v>
      </c>
      <c r="AN85" s="19">
        <v>45184</v>
      </c>
      <c r="AO85" s="18" t="s">
        <v>295</v>
      </c>
      <c r="AP85" s="18">
        <v>25</v>
      </c>
      <c r="AQ85" s="15">
        <v>45222</v>
      </c>
      <c r="AR85" s="18" t="s">
        <v>816</v>
      </c>
      <c r="AS85" s="18" t="s">
        <v>817</v>
      </c>
      <c r="AT85" s="7" t="str">
        <f t="shared" si="23"/>
        <v>Tidak ada</v>
      </c>
      <c r="AU85" s="18" t="s">
        <v>818</v>
      </c>
      <c r="AV85" s="7" t="str">
        <f t="shared" si="24"/>
        <v>Tidak ada</v>
      </c>
      <c r="AW85" s="7" t="str">
        <f t="shared" si="25"/>
        <v>Efektif</v>
      </c>
      <c r="AX85" s="18" t="s">
        <v>819</v>
      </c>
    </row>
    <row r="86" spans="1:50" ht="15.5" x14ac:dyDescent="0.35">
      <c r="A86" s="18">
        <v>32</v>
      </c>
      <c r="B86" s="18">
        <v>2058033</v>
      </c>
      <c r="C86" s="18" t="s">
        <v>820</v>
      </c>
      <c r="D86" s="21">
        <v>64</v>
      </c>
      <c r="E86" s="18" t="s">
        <v>821</v>
      </c>
      <c r="F86" s="18">
        <v>1.37</v>
      </c>
      <c r="G86" s="18" t="s">
        <v>714</v>
      </c>
      <c r="H86" s="14" t="s">
        <v>91</v>
      </c>
      <c r="I86" s="7" t="str">
        <f t="shared" si="26"/>
        <v>Ya</v>
      </c>
      <c r="J86" s="7" t="str">
        <f t="shared" si="27"/>
        <v>Tidak</v>
      </c>
      <c r="K86" s="7" t="str">
        <f t="shared" si="28"/>
        <v>Tidak</v>
      </c>
      <c r="L86" s="7" t="str">
        <f t="shared" si="29"/>
        <v>Tidak</v>
      </c>
      <c r="M86" s="7" t="str">
        <f t="shared" si="30"/>
        <v>Tidak</v>
      </c>
      <c r="N86" s="7" t="str">
        <f t="shared" si="31"/>
        <v>Tidak</v>
      </c>
      <c r="O86" s="7" t="str">
        <f t="shared" si="32"/>
        <v>Tidak</v>
      </c>
      <c r="P86" s="7" t="str">
        <f t="shared" si="33"/>
        <v>Tidak</v>
      </c>
      <c r="Q86" s="7" t="str">
        <f t="shared" si="34"/>
        <v>Tidak</v>
      </c>
      <c r="R86" s="7" t="str">
        <f t="shared" si="35"/>
        <v>Tidak</v>
      </c>
      <c r="S86" s="7" t="str">
        <f t="shared" si="36"/>
        <v>Tidak</v>
      </c>
      <c r="T86" s="7" t="str">
        <f t="shared" si="37"/>
        <v>Tidak</v>
      </c>
      <c r="U86" s="7" t="str">
        <f t="shared" si="38"/>
        <v>Tidak</v>
      </c>
      <c r="V86" s="7" t="str">
        <f t="shared" si="39"/>
        <v>Tidak</v>
      </c>
      <c r="W86" s="7" t="str">
        <f t="shared" si="40"/>
        <v>Tidak</v>
      </c>
      <c r="X86" s="7" t="str">
        <f t="shared" si="41"/>
        <v>Tidak</v>
      </c>
      <c r="Y86" s="19">
        <v>45063</v>
      </c>
      <c r="Z86" s="18" t="s">
        <v>822</v>
      </c>
      <c r="AA86" s="7">
        <f t="shared" si="42"/>
        <v>2</v>
      </c>
      <c r="AB86" s="7" t="str">
        <f t="shared" si="43"/>
        <v>Sedang</v>
      </c>
      <c r="AC86" s="7" t="str">
        <f t="shared" si="44"/>
        <v>Ya</v>
      </c>
      <c r="AD86" s="18" t="s">
        <v>823</v>
      </c>
      <c r="AE86" s="18" t="s">
        <v>31</v>
      </c>
      <c r="AF86" s="7" t="str">
        <f t="shared" si="45"/>
        <v>Maksektomi</v>
      </c>
      <c r="AG86" s="19">
        <v>45266</v>
      </c>
      <c r="AH86" s="18" t="s">
        <v>588</v>
      </c>
      <c r="AI86" s="19">
        <v>45114</v>
      </c>
      <c r="AJ86" s="18" t="s">
        <v>824</v>
      </c>
      <c r="AK86" s="18" t="s">
        <v>72</v>
      </c>
      <c r="AL86" s="19">
        <v>45226</v>
      </c>
      <c r="AM86" s="18" t="s">
        <v>169</v>
      </c>
      <c r="AN86" s="19">
        <v>45334</v>
      </c>
      <c r="AO86" s="18" t="s">
        <v>295</v>
      </c>
      <c r="AP86" s="18">
        <v>25</v>
      </c>
      <c r="AQ86" s="19">
        <v>45373</v>
      </c>
      <c r="AR86" s="18" t="s">
        <v>807</v>
      </c>
      <c r="AS86" s="18" t="s">
        <v>825</v>
      </c>
      <c r="AT86" s="7" t="str">
        <f t="shared" si="23"/>
        <v>Tidak ada</v>
      </c>
      <c r="AU86" s="18" t="s">
        <v>826</v>
      </c>
      <c r="AV86" s="7" t="str">
        <f t="shared" si="24"/>
        <v>Tidak ada</v>
      </c>
      <c r="AW86" s="7" t="str">
        <f t="shared" si="25"/>
        <v>Efektif</v>
      </c>
      <c r="AX86" s="18" t="s">
        <v>537</v>
      </c>
    </row>
    <row r="87" spans="1:50" ht="15.5" x14ac:dyDescent="0.35">
      <c r="A87" s="18">
        <v>33</v>
      </c>
      <c r="B87" s="14">
        <v>1772622</v>
      </c>
      <c r="C87" s="18" t="s">
        <v>827</v>
      </c>
      <c r="D87" s="21">
        <v>55</v>
      </c>
      <c r="E87" s="18" t="s">
        <v>828</v>
      </c>
      <c r="F87" s="18">
        <v>1.79</v>
      </c>
      <c r="G87" s="18" t="s">
        <v>68</v>
      </c>
      <c r="H87" s="18" t="s">
        <v>91</v>
      </c>
      <c r="I87" s="7" t="str">
        <f t="shared" si="26"/>
        <v>Ya</v>
      </c>
      <c r="J87" s="7" t="str">
        <f t="shared" si="27"/>
        <v>Tidak</v>
      </c>
      <c r="K87" s="7" t="str">
        <f t="shared" si="28"/>
        <v>Tidak</v>
      </c>
      <c r="L87" s="7" t="str">
        <f t="shared" si="29"/>
        <v>Tidak</v>
      </c>
      <c r="M87" s="7" t="str">
        <f t="shared" si="30"/>
        <v>Tidak</v>
      </c>
      <c r="N87" s="7" t="str">
        <f t="shared" si="31"/>
        <v>Tidak</v>
      </c>
      <c r="O87" s="7" t="str">
        <f t="shared" si="32"/>
        <v>Tidak</v>
      </c>
      <c r="P87" s="7" t="str">
        <f t="shared" si="33"/>
        <v>Tidak</v>
      </c>
      <c r="Q87" s="7" t="str">
        <f t="shared" si="34"/>
        <v>Tidak</v>
      </c>
      <c r="R87" s="7" t="str">
        <f t="shared" si="35"/>
        <v>Tidak</v>
      </c>
      <c r="S87" s="7" t="str">
        <f t="shared" si="36"/>
        <v>Tidak</v>
      </c>
      <c r="T87" s="7" t="str">
        <f t="shared" si="37"/>
        <v>Tidak</v>
      </c>
      <c r="U87" s="7" t="str">
        <f t="shared" si="38"/>
        <v>Tidak</v>
      </c>
      <c r="V87" s="7" t="str">
        <f t="shared" si="39"/>
        <v>Tidak</v>
      </c>
      <c r="W87" s="7" t="str">
        <f t="shared" si="40"/>
        <v>Tidak</v>
      </c>
      <c r="X87" s="7" t="str">
        <f t="shared" si="41"/>
        <v>Tidak</v>
      </c>
      <c r="Y87" s="19">
        <v>45146</v>
      </c>
      <c r="Z87" s="18" t="s">
        <v>829</v>
      </c>
      <c r="AA87" s="7">
        <f t="shared" si="42"/>
        <v>3</v>
      </c>
      <c r="AB87" s="7" t="str">
        <f t="shared" si="43"/>
        <v>Menjalar ke kulit/dinding dada</v>
      </c>
      <c r="AC87" s="7" t="str">
        <f t="shared" si="44"/>
        <v>Tidak diketahui</v>
      </c>
      <c r="AD87" s="18" t="s">
        <v>830</v>
      </c>
      <c r="AE87" s="18" t="s">
        <v>57</v>
      </c>
      <c r="AF87" s="7" t="str">
        <f t="shared" si="45"/>
        <v>Maksektomi</v>
      </c>
      <c r="AG87" s="19">
        <v>45294</v>
      </c>
      <c r="AH87" s="18" t="s">
        <v>588</v>
      </c>
      <c r="AI87" s="19">
        <v>45163</v>
      </c>
      <c r="AJ87" s="18" t="s">
        <v>831</v>
      </c>
      <c r="AK87" s="18" t="s">
        <v>72</v>
      </c>
      <c r="AL87" s="19">
        <v>45271</v>
      </c>
      <c r="AM87" s="18" t="s">
        <v>169</v>
      </c>
      <c r="AN87" s="19">
        <v>45334</v>
      </c>
      <c r="AO87" s="18" t="s">
        <v>806</v>
      </c>
      <c r="AP87" s="18">
        <v>30</v>
      </c>
      <c r="AQ87" s="19">
        <v>45411</v>
      </c>
      <c r="AR87" s="18" t="s">
        <v>275</v>
      </c>
      <c r="AS87" s="18" t="s">
        <v>832</v>
      </c>
      <c r="AT87" s="7" t="str">
        <f t="shared" si="23"/>
        <v>Tidak ada</v>
      </c>
      <c r="AU87" s="18" t="s">
        <v>833</v>
      </c>
      <c r="AV87" s="7" t="str">
        <f t="shared" si="24"/>
        <v>Tidak ada</v>
      </c>
      <c r="AW87" s="7" t="str">
        <f t="shared" si="25"/>
        <v>Efektif</v>
      </c>
      <c r="AX87" s="18" t="s">
        <v>537</v>
      </c>
    </row>
    <row r="88" spans="1:50" x14ac:dyDescent="0.35">
      <c r="A88" s="18">
        <v>34</v>
      </c>
      <c r="B88" s="18">
        <v>2059744</v>
      </c>
      <c r="C88" s="18" t="s">
        <v>834</v>
      </c>
      <c r="D88" s="21">
        <v>66</v>
      </c>
      <c r="E88" s="18" t="s">
        <v>835</v>
      </c>
      <c r="F88" s="18">
        <v>1.38</v>
      </c>
      <c r="G88" s="18" t="s">
        <v>714</v>
      </c>
      <c r="H88" s="18"/>
      <c r="I88" s="7" t="str">
        <f t="shared" si="26"/>
        <v>Tidak</v>
      </c>
      <c r="J88" s="7" t="str">
        <f t="shared" si="27"/>
        <v>Tidak</v>
      </c>
      <c r="K88" s="7" t="str">
        <f t="shared" si="28"/>
        <v>Tidak</v>
      </c>
      <c r="L88" s="7" t="str">
        <f t="shared" si="29"/>
        <v>Tidak</v>
      </c>
      <c r="M88" s="7" t="str">
        <f t="shared" si="30"/>
        <v>Tidak</v>
      </c>
      <c r="N88" s="7" t="str">
        <f t="shared" si="31"/>
        <v>Tidak</v>
      </c>
      <c r="O88" s="7" t="str">
        <f t="shared" si="32"/>
        <v>Tidak</v>
      </c>
      <c r="P88" s="7" t="str">
        <f t="shared" si="33"/>
        <v>Tidak</v>
      </c>
      <c r="Q88" s="7" t="str">
        <f t="shared" si="34"/>
        <v>Tidak</v>
      </c>
      <c r="R88" s="7" t="str">
        <f t="shared" si="35"/>
        <v>Tidak</v>
      </c>
      <c r="S88" s="7" t="str">
        <f t="shared" si="36"/>
        <v>Tidak</v>
      </c>
      <c r="T88" s="7" t="str">
        <f t="shared" si="37"/>
        <v>Tidak</v>
      </c>
      <c r="U88" s="7" t="str">
        <f t="shared" si="38"/>
        <v>Tidak</v>
      </c>
      <c r="V88" s="7" t="str">
        <f t="shared" si="39"/>
        <v>Tidak</v>
      </c>
      <c r="W88" s="7" t="str">
        <f t="shared" si="40"/>
        <v>Tidak</v>
      </c>
      <c r="X88" s="7" t="str">
        <f t="shared" si="41"/>
        <v>Tidak</v>
      </c>
      <c r="Y88" s="19">
        <v>45069</v>
      </c>
      <c r="Z88" s="18" t="s">
        <v>836</v>
      </c>
      <c r="AA88" s="7">
        <f t="shared" si="42"/>
        <v>2</v>
      </c>
      <c r="AB88" s="7" t="str">
        <f t="shared" si="43"/>
        <v>Sedang</v>
      </c>
      <c r="AC88" s="7" t="str">
        <f t="shared" si="44"/>
        <v>Tidak</v>
      </c>
      <c r="AD88" s="18" t="s">
        <v>837</v>
      </c>
      <c r="AE88" s="18" t="s">
        <v>31</v>
      </c>
      <c r="AF88" s="7" t="str">
        <f t="shared" si="45"/>
        <v>Maksektomi</v>
      </c>
      <c r="AG88" s="19">
        <v>45287</v>
      </c>
      <c r="AH88" s="18" t="s">
        <v>588</v>
      </c>
      <c r="AI88" s="19">
        <v>45111</v>
      </c>
      <c r="AJ88" s="18" t="s">
        <v>838</v>
      </c>
      <c r="AK88" s="18" t="s">
        <v>72</v>
      </c>
      <c r="AL88" s="19">
        <v>45230</v>
      </c>
      <c r="AM88" s="18" t="s">
        <v>169</v>
      </c>
      <c r="AN88" s="19">
        <v>45355</v>
      </c>
      <c r="AO88" s="18" t="s">
        <v>806</v>
      </c>
      <c r="AP88" s="18">
        <v>30</v>
      </c>
      <c r="AQ88" s="19">
        <v>45407</v>
      </c>
      <c r="AR88" s="18" t="s">
        <v>839</v>
      </c>
      <c r="AS88" s="18" t="s">
        <v>840</v>
      </c>
      <c r="AT88" s="7" t="str">
        <f t="shared" si="23"/>
        <v>Tidak ada</v>
      </c>
      <c r="AU88" s="18" t="s">
        <v>841</v>
      </c>
      <c r="AV88" s="7" t="str">
        <f t="shared" si="24"/>
        <v>Tidak ada</v>
      </c>
      <c r="AW88" s="7" t="str">
        <f t="shared" si="25"/>
        <v>Efektif</v>
      </c>
      <c r="AX88" s="18" t="s">
        <v>537</v>
      </c>
    </row>
    <row r="89" spans="1:50" ht="15.5" x14ac:dyDescent="0.35">
      <c r="A89" s="18">
        <v>35</v>
      </c>
      <c r="B89" s="18">
        <v>2057412</v>
      </c>
      <c r="C89" s="18" t="s">
        <v>842</v>
      </c>
      <c r="D89" s="21">
        <v>61</v>
      </c>
      <c r="E89" s="18" t="s">
        <v>843</v>
      </c>
      <c r="F89" s="20">
        <v>1.68</v>
      </c>
      <c r="G89" s="18" t="s">
        <v>714</v>
      </c>
      <c r="H89" s="18"/>
      <c r="I89" s="7" t="str">
        <f t="shared" si="26"/>
        <v>Tidak</v>
      </c>
      <c r="J89" s="7" t="str">
        <f t="shared" si="27"/>
        <v>Tidak</v>
      </c>
      <c r="K89" s="7" t="str">
        <f t="shared" si="28"/>
        <v>Tidak</v>
      </c>
      <c r="L89" s="7" t="str">
        <f t="shared" si="29"/>
        <v>Tidak</v>
      </c>
      <c r="M89" s="7" t="str">
        <f t="shared" si="30"/>
        <v>Tidak</v>
      </c>
      <c r="N89" s="7" t="str">
        <f t="shared" si="31"/>
        <v>Tidak</v>
      </c>
      <c r="O89" s="7" t="str">
        <f t="shared" si="32"/>
        <v>Tidak</v>
      </c>
      <c r="P89" s="7" t="str">
        <f t="shared" si="33"/>
        <v>Tidak</v>
      </c>
      <c r="Q89" s="7" t="str">
        <f t="shared" si="34"/>
        <v>Tidak</v>
      </c>
      <c r="R89" s="7" t="str">
        <f t="shared" si="35"/>
        <v>Tidak</v>
      </c>
      <c r="S89" s="7" t="str">
        <f t="shared" si="36"/>
        <v>Tidak</v>
      </c>
      <c r="T89" s="7" t="str">
        <f t="shared" si="37"/>
        <v>Tidak</v>
      </c>
      <c r="U89" s="7" t="str">
        <f t="shared" si="38"/>
        <v>Tidak</v>
      </c>
      <c r="V89" s="7" t="str">
        <f t="shared" si="39"/>
        <v>Tidak</v>
      </c>
      <c r="W89" s="7" t="str">
        <f t="shared" si="40"/>
        <v>Tidak</v>
      </c>
      <c r="X89" s="7" t="str">
        <f t="shared" si="41"/>
        <v>Tidak</v>
      </c>
      <c r="Y89" s="15">
        <v>45061</v>
      </c>
      <c r="Z89" s="14" t="s">
        <v>844</v>
      </c>
      <c r="AA89" s="7">
        <f t="shared" si="42"/>
        <v>3</v>
      </c>
      <c r="AB89" s="7" t="str">
        <f t="shared" si="43"/>
        <v>Menjalar ke kulit/dinding dada</v>
      </c>
      <c r="AC89" s="7" t="str">
        <f t="shared" si="44"/>
        <v>Tidak diketahui</v>
      </c>
      <c r="AD89" s="18" t="s">
        <v>845</v>
      </c>
      <c r="AE89" s="18" t="s">
        <v>31</v>
      </c>
      <c r="AF89" s="7" t="str">
        <f t="shared" si="45"/>
        <v>Maksektomi</v>
      </c>
      <c r="AG89" s="19">
        <v>45295</v>
      </c>
      <c r="AH89" s="18" t="s">
        <v>588</v>
      </c>
      <c r="AI89" s="19">
        <v>45096</v>
      </c>
      <c r="AJ89" s="18" t="s">
        <v>846</v>
      </c>
      <c r="AK89" s="18" t="s">
        <v>284</v>
      </c>
      <c r="AL89" s="19">
        <v>45253</v>
      </c>
      <c r="AM89" s="18" t="s">
        <v>169</v>
      </c>
      <c r="AN89" s="19">
        <v>45355</v>
      </c>
      <c r="AO89" s="18" t="s">
        <v>806</v>
      </c>
      <c r="AP89" s="18">
        <v>30</v>
      </c>
      <c r="AQ89" s="19">
        <v>45411</v>
      </c>
      <c r="AR89" s="18" t="s">
        <v>847</v>
      </c>
      <c r="AS89" s="18" t="s">
        <v>848</v>
      </c>
      <c r="AT89" s="7" t="str">
        <f t="shared" si="23"/>
        <v>Tidak ada</v>
      </c>
      <c r="AU89" s="18" t="s">
        <v>921</v>
      </c>
      <c r="AV89" s="7" t="str">
        <f t="shared" si="24"/>
        <v>Tidak ada</v>
      </c>
      <c r="AW89" s="7" t="str">
        <f t="shared" si="25"/>
        <v>Efektif</v>
      </c>
      <c r="AX89" s="18" t="s">
        <v>537</v>
      </c>
    </row>
    <row r="90" spans="1:50" ht="15.5" x14ac:dyDescent="0.35">
      <c r="A90" s="18">
        <v>36</v>
      </c>
      <c r="B90" s="14">
        <v>20440099</v>
      </c>
      <c r="C90" s="14" t="s">
        <v>849</v>
      </c>
      <c r="D90" s="21">
        <v>47</v>
      </c>
      <c r="E90" s="18" t="s">
        <v>484</v>
      </c>
      <c r="F90" s="14">
        <v>1.49</v>
      </c>
      <c r="G90" s="18" t="s">
        <v>850</v>
      </c>
      <c r="H90" s="18" t="s">
        <v>802</v>
      </c>
      <c r="I90" s="7" t="str">
        <f t="shared" si="26"/>
        <v>Ya</v>
      </c>
      <c r="J90" s="7" t="str">
        <f t="shared" si="27"/>
        <v>Tidak</v>
      </c>
      <c r="K90" s="7" t="str">
        <f t="shared" si="28"/>
        <v>Tidak</v>
      </c>
      <c r="L90" s="7" t="str">
        <f t="shared" si="29"/>
        <v>Tidak</v>
      </c>
      <c r="M90" s="7" t="str">
        <f t="shared" si="30"/>
        <v>Tidak</v>
      </c>
      <c r="N90" s="7" t="str">
        <f t="shared" si="31"/>
        <v>Tidak</v>
      </c>
      <c r="O90" s="7" t="str">
        <f t="shared" si="32"/>
        <v>Tidak</v>
      </c>
      <c r="P90" s="7" t="str">
        <f t="shared" si="33"/>
        <v>Tidak</v>
      </c>
      <c r="Q90" s="7" t="str">
        <f t="shared" si="34"/>
        <v>Tidak</v>
      </c>
      <c r="R90" s="7" t="str">
        <f t="shared" si="35"/>
        <v>Tidak</v>
      </c>
      <c r="S90" s="7" t="str">
        <f t="shared" si="36"/>
        <v>Tidak</v>
      </c>
      <c r="T90" s="7" t="str">
        <f t="shared" si="37"/>
        <v>Tidak</v>
      </c>
      <c r="U90" s="7" t="str">
        <f t="shared" si="38"/>
        <v>Tidak</v>
      </c>
      <c r="V90" s="7" t="str">
        <f t="shared" si="39"/>
        <v>Tidak</v>
      </c>
      <c r="W90" s="7" t="str">
        <f t="shared" si="40"/>
        <v>Tidak</v>
      </c>
      <c r="X90" s="7" t="str">
        <f t="shared" si="41"/>
        <v>Tidak</v>
      </c>
      <c r="Y90" s="19">
        <v>44921</v>
      </c>
      <c r="Z90" s="18" t="s">
        <v>844</v>
      </c>
      <c r="AA90" s="7">
        <f t="shared" si="42"/>
        <v>3</v>
      </c>
      <c r="AB90" s="7" t="str">
        <f t="shared" si="43"/>
        <v>Menjalar ke kulit/dinding dada</v>
      </c>
      <c r="AC90" s="7" t="str">
        <f t="shared" si="44"/>
        <v>Tidak diketahui</v>
      </c>
      <c r="AD90" s="18" t="s">
        <v>851</v>
      </c>
      <c r="AE90" s="18" t="s">
        <v>852</v>
      </c>
      <c r="AF90" s="7" t="str">
        <f t="shared" si="45"/>
        <v>Maksektomi</v>
      </c>
      <c r="AG90" s="19">
        <v>45231</v>
      </c>
      <c r="AH90" s="18" t="s">
        <v>588</v>
      </c>
      <c r="AI90" s="19">
        <v>45096</v>
      </c>
      <c r="AJ90" s="18" t="s">
        <v>853</v>
      </c>
      <c r="AK90" s="18" t="s">
        <v>284</v>
      </c>
      <c r="AL90" s="19">
        <v>45163</v>
      </c>
      <c r="AM90" s="18" t="s">
        <v>169</v>
      </c>
      <c r="AN90" s="19">
        <v>45397</v>
      </c>
      <c r="AO90" s="18" t="s">
        <v>806</v>
      </c>
      <c r="AP90" s="18">
        <v>30</v>
      </c>
      <c r="AQ90" s="19">
        <v>45447</v>
      </c>
      <c r="AR90" s="18" t="s">
        <v>854</v>
      </c>
      <c r="AS90" s="18" t="s">
        <v>855</v>
      </c>
      <c r="AT90" s="7" t="str">
        <f t="shared" si="23"/>
        <v>Tidak ada</v>
      </c>
      <c r="AU90" s="18" t="s">
        <v>856</v>
      </c>
      <c r="AV90" s="7" t="str">
        <f t="shared" si="24"/>
        <v>Tidak ada</v>
      </c>
      <c r="AW90" s="7" t="str">
        <f t="shared" si="25"/>
        <v>Efektif</v>
      </c>
      <c r="AX90" s="18" t="s">
        <v>857</v>
      </c>
    </row>
    <row r="91" spans="1:50" x14ac:dyDescent="0.35">
      <c r="A91" s="18">
        <v>37</v>
      </c>
      <c r="B91" s="18">
        <v>2066300</v>
      </c>
      <c r="C91" s="18" t="s">
        <v>858</v>
      </c>
      <c r="D91" s="21">
        <v>52</v>
      </c>
      <c r="E91" s="18" t="s">
        <v>859</v>
      </c>
      <c r="F91" s="18">
        <v>1.65</v>
      </c>
      <c r="G91" s="18" t="s">
        <v>433</v>
      </c>
      <c r="H91" s="18"/>
      <c r="I91" s="7" t="str">
        <f t="shared" si="26"/>
        <v>Tidak</v>
      </c>
      <c r="J91" s="7" t="str">
        <f t="shared" si="27"/>
        <v>Tidak</v>
      </c>
      <c r="K91" s="7" t="str">
        <f t="shared" si="28"/>
        <v>Tidak</v>
      </c>
      <c r="L91" s="7" t="str">
        <f t="shared" si="29"/>
        <v>Tidak</v>
      </c>
      <c r="M91" s="7" t="str">
        <f t="shared" si="30"/>
        <v>Tidak</v>
      </c>
      <c r="N91" s="7" t="str">
        <f t="shared" si="31"/>
        <v>Tidak</v>
      </c>
      <c r="O91" s="7" t="str">
        <f t="shared" si="32"/>
        <v>Tidak</v>
      </c>
      <c r="P91" s="7" t="str">
        <f t="shared" si="33"/>
        <v>Tidak</v>
      </c>
      <c r="Q91" s="7" t="str">
        <f t="shared" si="34"/>
        <v>Tidak</v>
      </c>
      <c r="R91" s="7" t="str">
        <f t="shared" si="35"/>
        <v>Tidak</v>
      </c>
      <c r="S91" s="7" t="str">
        <f t="shared" si="36"/>
        <v>Tidak</v>
      </c>
      <c r="T91" s="7" t="str">
        <f t="shared" si="37"/>
        <v>Tidak</v>
      </c>
      <c r="U91" s="7" t="str">
        <f t="shared" si="38"/>
        <v>Tidak</v>
      </c>
      <c r="V91" s="7" t="str">
        <f t="shared" si="39"/>
        <v>Tidak</v>
      </c>
      <c r="W91" s="7" t="str">
        <f t="shared" si="40"/>
        <v>Tidak</v>
      </c>
      <c r="X91" s="7" t="str">
        <f t="shared" si="41"/>
        <v>Tidak</v>
      </c>
      <c r="Y91" s="18" t="s">
        <v>860</v>
      </c>
      <c r="Z91" s="18" t="s">
        <v>861</v>
      </c>
      <c r="AA91" s="7">
        <f t="shared" si="42"/>
        <v>1</v>
      </c>
      <c r="AB91" s="7" t="str">
        <f t="shared" si="43"/>
        <v>Tidak ada</v>
      </c>
      <c r="AC91" s="7" t="str">
        <f t="shared" si="44"/>
        <v>Tidak</v>
      </c>
      <c r="AD91" s="20" t="s">
        <v>862</v>
      </c>
      <c r="AE91" s="18" t="s">
        <v>57</v>
      </c>
      <c r="AF91" s="7" t="str">
        <f t="shared" si="45"/>
        <v>Maksektomi</v>
      </c>
      <c r="AG91" s="19">
        <v>45278</v>
      </c>
      <c r="AH91" s="18" t="s">
        <v>588</v>
      </c>
      <c r="AI91" s="19">
        <v>45152</v>
      </c>
      <c r="AJ91" s="18" t="s">
        <v>863</v>
      </c>
      <c r="AK91" s="18" t="s">
        <v>72</v>
      </c>
      <c r="AL91" s="19">
        <v>45257</v>
      </c>
      <c r="AM91" s="18" t="s">
        <v>169</v>
      </c>
      <c r="AN91" s="19">
        <v>45400</v>
      </c>
      <c r="AO91" s="18" t="s">
        <v>806</v>
      </c>
      <c r="AP91" s="18">
        <v>30</v>
      </c>
      <c r="AQ91" s="19">
        <v>45455</v>
      </c>
      <c r="AR91" s="18" t="s">
        <v>864</v>
      </c>
      <c r="AS91" s="18" t="s">
        <v>865</v>
      </c>
      <c r="AT91" s="7" t="str">
        <f t="shared" si="23"/>
        <v>Tidak ada</v>
      </c>
      <c r="AU91" s="18" t="s">
        <v>866</v>
      </c>
      <c r="AV91" s="7" t="str">
        <f t="shared" si="24"/>
        <v>Ada</v>
      </c>
      <c r="AW91" s="7" t="str">
        <f t="shared" si="25"/>
        <v>Tidak Efektif</v>
      </c>
      <c r="AX91" s="18"/>
    </row>
    <row r="92" spans="1:50" x14ac:dyDescent="0.35">
      <c r="A92" s="18">
        <v>38</v>
      </c>
      <c r="B92" s="18">
        <v>2042186</v>
      </c>
      <c r="C92" s="18" t="s">
        <v>867</v>
      </c>
      <c r="D92" s="21">
        <v>44</v>
      </c>
      <c r="E92" s="18" t="s">
        <v>868</v>
      </c>
      <c r="F92" s="18">
        <v>1.34</v>
      </c>
      <c r="G92" s="18" t="s">
        <v>43</v>
      </c>
      <c r="H92" s="18"/>
      <c r="I92" s="7" t="str">
        <f t="shared" si="26"/>
        <v>Tidak</v>
      </c>
      <c r="J92" s="7" t="str">
        <f t="shared" si="27"/>
        <v>Tidak</v>
      </c>
      <c r="K92" s="7" t="str">
        <f t="shared" si="28"/>
        <v>Tidak</v>
      </c>
      <c r="L92" s="7" t="str">
        <f t="shared" si="29"/>
        <v>Tidak</v>
      </c>
      <c r="M92" s="7" t="str">
        <f t="shared" si="30"/>
        <v>Tidak</v>
      </c>
      <c r="N92" s="7" t="str">
        <f t="shared" si="31"/>
        <v>Tidak</v>
      </c>
      <c r="O92" s="7" t="str">
        <f t="shared" si="32"/>
        <v>Tidak</v>
      </c>
      <c r="P92" s="7" t="str">
        <f t="shared" si="33"/>
        <v>Tidak</v>
      </c>
      <c r="Q92" s="7" t="str">
        <f t="shared" si="34"/>
        <v>Tidak</v>
      </c>
      <c r="R92" s="7" t="str">
        <f t="shared" si="35"/>
        <v>Tidak</v>
      </c>
      <c r="S92" s="7" t="str">
        <f t="shared" si="36"/>
        <v>Tidak</v>
      </c>
      <c r="T92" s="7" t="str">
        <f t="shared" si="37"/>
        <v>Tidak</v>
      </c>
      <c r="U92" s="7" t="str">
        <f t="shared" si="38"/>
        <v>Tidak</v>
      </c>
      <c r="V92" s="7" t="str">
        <f t="shared" si="39"/>
        <v>Tidak</v>
      </c>
      <c r="W92" s="7" t="str">
        <f t="shared" si="40"/>
        <v>Tidak</v>
      </c>
      <c r="X92" s="7" t="str">
        <f t="shared" si="41"/>
        <v>Tidak</v>
      </c>
      <c r="Y92" s="18"/>
      <c r="Z92" s="18" t="s">
        <v>869</v>
      </c>
      <c r="AA92" s="7">
        <f t="shared" si="42"/>
        <v>3</v>
      </c>
      <c r="AB92" s="7" t="str">
        <f t="shared" si="43"/>
        <v>Menjalar ke kulit/dinding dada</v>
      </c>
      <c r="AC92" s="7" t="str">
        <f t="shared" si="44"/>
        <v>Tidak</v>
      </c>
      <c r="AD92" s="18" t="s">
        <v>870</v>
      </c>
      <c r="AE92" s="18" t="s">
        <v>871</v>
      </c>
      <c r="AF92" s="7" t="str">
        <f t="shared" si="45"/>
        <v>Maksektomi</v>
      </c>
      <c r="AG92" s="19">
        <v>45147</v>
      </c>
      <c r="AH92" s="18" t="s">
        <v>588</v>
      </c>
      <c r="AI92" s="19">
        <v>44966</v>
      </c>
      <c r="AJ92" s="18" t="s">
        <v>872</v>
      </c>
      <c r="AK92" s="18" t="s">
        <v>139</v>
      </c>
      <c r="AL92" s="19">
        <v>45133</v>
      </c>
      <c r="AM92" s="18" t="s">
        <v>169</v>
      </c>
      <c r="AN92" s="19">
        <v>45272</v>
      </c>
      <c r="AO92" s="18" t="s">
        <v>806</v>
      </c>
      <c r="AP92" s="18">
        <v>30</v>
      </c>
      <c r="AQ92" s="19">
        <v>45324</v>
      </c>
      <c r="AR92" s="18" t="s">
        <v>873</v>
      </c>
      <c r="AS92" s="18" t="s">
        <v>874</v>
      </c>
      <c r="AT92" s="7" t="str">
        <f t="shared" si="23"/>
        <v>Tidak ada</v>
      </c>
      <c r="AU92" s="18" t="s">
        <v>875</v>
      </c>
      <c r="AV92" s="7" t="str">
        <f t="shared" si="24"/>
        <v>Tidak ada</v>
      </c>
      <c r="AW92" s="7" t="str">
        <f t="shared" si="25"/>
        <v>Efektif</v>
      </c>
      <c r="AX92" s="18" t="s">
        <v>876</v>
      </c>
    </row>
    <row r="93" spans="1:50" ht="15.5" x14ac:dyDescent="0.35">
      <c r="A93" s="18">
        <v>39</v>
      </c>
      <c r="B93" s="18">
        <v>2023598</v>
      </c>
      <c r="C93" s="18" t="s">
        <v>877</v>
      </c>
      <c r="D93" s="21">
        <v>53</v>
      </c>
      <c r="E93" s="14" t="s">
        <v>878</v>
      </c>
      <c r="F93" s="18">
        <v>1.38</v>
      </c>
      <c r="G93" s="18" t="s">
        <v>433</v>
      </c>
      <c r="H93" s="18"/>
      <c r="I93" s="7" t="str">
        <f t="shared" si="26"/>
        <v>Tidak</v>
      </c>
      <c r="J93" s="7" t="str">
        <f t="shared" si="27"/>
        <v>Tidak</v>
      </c>
      <c r="K93" s="7" t="str">
        <f t="shared" si="28"/>
        <v>Tidak</v>
      </c>
      <c r="L93" s="7" t="str">
        <f t="shared" si="29"/>
        <v>Tidak</v>
      </c>
      <c r="M93" s="7" t="str">
        <f t="shared" si="30"/>
        <v>Tidak</v>
      </c>
      <c r="N93" s="7" t="str">
        <f t="shared" si="31"/>
        <v>Tidak</v>
      </c>
      <c r="O93" s="7" t="str">
        <f t="shared" si="32"/>
        <v>Tidak</v>
      </c>
      <c r="P93" s="7" t="str">
        <f t="shared" si="33"/>
        <v>Tidak</v>
      </c>
      <c r="Q93" s="7" t="str">
        <f t="shared" si="34"/>
        <v>Tidak</v>
      </c>
      <c r="R93" s="7" t="str">
        <f t="shared" si="35"/>
        <v>Tidak</v>
      </c>
      <c r="S93" s="7" t="str">
        <f t="shared" si="36"/>
        <v>Tidak</v>
      </c>
      <c r="T93" s="7" t="str">
        <f t="shared" si="37"/>
        <v>Tidak</v>
      </c>
      <c r="U93" s="7" t="str">
        <f t="shared" si="38"/>
        <v>Tidak</v>
      </c>
      <c r="V93" s="7" t="str">
        <f t="shared" si="39"/>
        <v>Tidak</v>
      </c>
      <c r="W93" s="7" t="str">
        <f t="shared" si="40"/>
        <v>Tidak</v>
      </c>
      <c r="X93" s="7" t="str">
        <f t="shared" si="41"/>
        <v>Tidak</v>
      </c>
      <c r="Y93" s="19">
        <v>44795</v>
      </c>
      <c r="Z93" s="18" t="s">
        <v>434</v>
      </c>
      <c r="AA93" s="7">
        <f t="shared" si="42"/>
        <v>3</v>
      </c>
      <c r="AB93" s="7" t="str">
        <f t="shared" si="43"/>
        <v>Besar</v>
      </c>
      <c r="AC93" s="7" t="str">
        <f t="shared" si="44"/>
        <v>Tidak</v>
      </c>
      <c r="AD93" s="18" t="s">
        <v>879</v>
      </c>
      <c r="AE93" s="18" t="s">
        <v>57</v>
      </c>
      <c r="AF93" s="7" t="str">
        <f t="shared" si="45"/>
        <v>Maksektomi</v>
      </c>
      <c r="AG93" s="19">
        <v>45182</v>
      </c>
      <c r="AH93" s="18" t="s">
        <v>588</v>
      </c>
      <c r="AI93" s="19">
        <v>45009</v>
      </c>
      <c r="AJ93" s="18" t="s">
        <v>880</v>
      </c>
      <c r="AK93" s="18" t="s">
        <v>72</v>
      </c>
      <c r="AL93" s="19">
        <v>45134</v>
      </c>
      <c r="AM93" s="18" t="s">
        <v>169</v>
      </c>
      <c r="AN93" s="19">
        <v>45287</v>
      </c>
      <c r="AO93" s="18" t="s">
        <v>806</v>
      </c>
      <c r="AP93" s="18">
        <v>30</v>
      </c>
      <c r="AQ93" s="19">
        <v>45341</v>
      </c>
      <c r="AR93" s="18" t="s">
        <v>881</v>
      </c>
      <c r="AS93" s="18" t="s">
        <v>882</v>
      </c>
      <c r="AT93" s="7" t="str">
        <f t="shared" si="23"/>
        <v>Tidak ada</v>
      </c>
      <c r="AU93" s="18" t="s">
        <v>883</v>
      </c>
      <c r="AV93" s="7" t="str">
        <f t="shared" si="24"/>
        <v>Tidak ada</v>
      </c>
      <c r="AW93" s="7" t="str">
        <f t="shared" si="25"/>
        <v>Efektif</v>
      </c>
      <c r="AX93" s="18" t="s">
        <v>884</v>
      </c>
    </row>
    <row r="94" spans="1:50" ht="15.5" x14ac:dyDescent="0.35">
      <c r="A94" s="18">
        <v>40</v>
      </c>
      <c r="B94" s="18">
        <v>1780950</v>
      </c>
      <c r="C94" s="18" t="s">
        <v>885</v>
      </c>
      <c r="D94" s="21">
        <v>54</v>
      </c>
      <c r="E94" s="18" t="s">
        <v>886</v>
      </c>
      <c r="F94" s="18">
        <v>1.91</v>
      </c>
      <c r="G94" s="18" t="s">
        <v>433</v>
      </c>
      <c r="H94" s="18"/>
      <c r="I94" s="7" t="str">
        <f t="shared" si="26"/>
        <v>Tidak</v>
      </c>
      <c r="J94" s="7" t="str">
        <f t="shared" si="27"/>
        <v>Tidak</v>
      </c>
      <c r="K94" s="7" t="str">
        <f t="shared" si="28"/>
        <v>Tidak</v>
      </c>
      <c r="L94" s="7" t="str">
        <f t="shared" si="29"/>
        <v>Tidak</v>
      </c>
      <c r="M94" s="7" t="str">
        <f t="shared" si="30"/>
        <v>Tidak</v>
      </c>
      <c r="N94" s="7" t="str">
        <f t="shared" si="31"/>
        <v>Tidak</v>
      </c>
      <c r="O94" s="7" t="str">
        <f t="shared" si="32"/>
        <v>Tidak</v>
      </c>
      <c r="P94" s="7" t="str">
        <f t="shared" si="33"/>
        <v>Tidak</v>
      </c>
      <c r="Q94" s="7" t="str">
        <f t="shared" si="34"/>
        <v>Tidak</v>
      </c>
      <c r="R94" s="7" t="str">
        <f t="shared" si="35"/>
        <v>Tidak</v>
      </c>
      <c r="S94" s="7" t="str">
        <f t="shared" si="36"/>
        <v>Tidak</v>
      </c>
      <c r="T94" s="7" t="str">
        <f t="shared" si="37"/>
        <v>Tidak</v>
      </c>
      <c r="U94" s="7" t="str">
        <f t="shared" si="38"/>
        <v>Tidak</v>
      </c>
      <c r="V94" s="7" t="str">
        <f t="shared" si="39"/>
        <v>Tidak</v>
      </c>
      <c r="W94" s="7" t="str">
        <f t="shared" si="40"/>
        <v>Tidak</v>
      </c>
      <c r="X94" s="7" t="str">
        <f t="shared" si="41"/>
        <v>Tidak</v>
      </c>
      <c r="Y94" s="19">
        <v>44879</v>
      </c>
      <c r="Z94" s="14" t="s">
        <v>887</v>
      </c>
      <c r="AA94" s="7">
        <f t="shared" si="42"/>
        <v>2</v>
      </c>
      <c r="AB94" s="7" t="str">
        <f t="shared" si="43"/>
        <v>Sedang</v>
      </c>
      <c r="AC94" s="7" t="str">
        <f t="shared" si="44"/>
        <v>Ya</v>
      </c>
      <c r="AD94" s="18" t="s">
        <v>888</v>
      </c>
      <c r="AE94" s="18" t="s">
        <v>57</v>
      </c>
      <c r="AF94" s="7" t="str">
        <f t="shared" si="45"/>
        <v>Maksektomi</v>
      </c>
      <c r="AG94" s="15">
        <v>45044</v>
      </c>
      <c r="AH94" s="18" t="s">
        <v>588</v>
      </c>
      <c r="AI94" s="19">
        <v>44907</v>
      </c>
      <c r="AJ94" s="18" t="s">
        <v>889</v>
      </c>
      <c r="AK94" s="18" t="s">
        <v>72</v>
      </c>
      <c r="AL94" s="19">
        <v>45021</v>
      </c>
      <c r="AM94" s="18" t="s">
        <v>169</v>
      </c>
      <c r="AN94" s="19">
        <v>45222</v>
      </c>
      <c r="AO94" s="7" t="s">
        <v>488</v>
      </c>
      <c r="AP94" s="18">
        <v>25</v>
      </c>
      <c r="AQ94" s="19">
        <v>45254</v>
      </c>
      <c r="AR94" s="18" t="s">
        <v>890</v>
      </c>
      <c r="AS94" s="18" t="s">
        <v>921</v>
      </c>
      <c r="AT94" s="7" t="str">
        <f t="shared" si="23"/>
        <v>Tidak ada</v>
      </c>
      <c r="AU94" s="18" t="s">
        <v>891</v>
      </c>
      <c r="AV94" s="7" t="str">
        <f t="shared" si="24"/>
        <v>Tidak ada</v>
      </c>
      <c r="AW94" s="7" t="str">
        <f t="shared" si="25"/>
        <v>Efektif</v>
      </c>
      <c r="AX94" s="18"/>
    </row>
    <row r="95" spans="1:50" ht="15.5" x14ac:dyDescent="0.35">
      <c r="A95" s="18">
        <v>41</v>
      </c>
      <c r="B95" s="18">
        <v>2049897</v>
      </c>
      <c r="C95" s="18" t="s">
        <v>892</v>
      </c>
      <c r="D95" s="21">
        <v>42</v>
      </c>
      <c r="E95" s="18" t="s">
        <v>893</v>
      </c>
      <c r="F95" s="18">
        <v>1.77</v>
      </c>
      <c r="G95" s="18" t="s">
        <v>433</v>
      </c>
      <c r="H95" s="18"/>
      <c r="I95" s="7" t="str">
        <f t="shared" si="26"/>
        <v>Tidak</v>
      </c>
      <c r="J95" s="7" t="str">
        <f t="shared" si="27"/>
        <v>Tidak</v>
      </c>
      <c r="K95" s="7" t="str">
        <f t="shared" si="28"/>
        <v>Tidak</v>
      </c>
      <c r="L95" s="7" t="str">
        <f t="shared" si="29"/>
        <v>Tidak</v>
      </c>
      <c r="M95" s="7" t="str">
        <f t="shared" si="30"/>
        <v>Tidak</v>
      </c>
      <c r="N95" s="7" t="str">
        <f t="shared" si="31"/>
        <v>Tidak</v>
      </c>
      <c r="O95" s="7" t="str">
        <f t="shared" si="32"/>
        <v>Tidak</v>
      </c>
      <c r="P95" s="7" t="str">
        <f t="shared" si="33"/>
        <v>Tidak</v>
      </c>
      <c r="Q95" s="7" t="str">
        <f t="shared" si="34"/>
        <v>Tidak</v>
      </c>
      <c r="R95" s="7" t="str">
        <f t="shared" si="35"/>
        <v>Tidak</v>
      </c>
      <c r="S95" s="7" t="str">
        <f t="shared" si="36"/>
        <v>Tidak</v>
      </c>
      <c r="T95" s="7" t="str">
        <f t="shared" si="37"/>
        <v>Tidak</v>
      </c>
      <c r="U95" s="7" t="str">
        <f t="shared" si="38"/>
        <v>Tidak</v>
      </c>
      <c r="V95" s="7" t="str">
        <f t="shared" si="39"/>
        <v>Tidak</v>
      </c>
      <c r="W95" s="7" t="str">
        <f t="shared" si="40"/>
        <v>Tidak</v>
      </c>
      <c r="X95" s="7" t="str">
        <f t="shared" si="41"/>
        <v>Tidak</v>
      </c>
      <c r="Y95" s="15">
        <v>45004</v>
      </c>
      <c r="Z95" s="18" t="s">
        <v>894</v>
      </c>
      <c r="AA95" s="7">
        <f t="shared" si="42"/>
        <v>3</v>
      </c>
      <c r="AB95" s="7" t="str">
        <f t="shared" si="43"/>
        <v>Menjalar ke kulit/dinding dada</v>
      </c>
      <c r="AC95" s="7" t="str">
        <f t="shared" si="44"/>
        <v>Ya</v>
      </c>
      <c r="AD95" s="18" t="s">
        <v>895</v>
      </c>
      <c r="AE95" s="18" t="s">
        <v>57</v>
      </c>
      <c r="AF95" s="7" t="str">
        <f t="shared" si="45"/>
        <v>Maksektomi</v>
      </c>
      <c r="AG95" s="19">
        <v>45044</v>
      </c>
      <c r="AH95" s="18" t="s">
        <v>588</v>
      </c>
      <c r="AI95" s="19">
        <v>45068</v>
      </c>
      <c r="AJ95" s="18" t="s">
        <v>896</v>
      </c>
      <c r="AK95" s="18" t="s">
        <v>72</v>
      </c>
      <c r="AL95" s="19">
        <v>45160</v>
      </c>
      <c r="AM95" s="18" t="s">
        <v>169</v>
      </c>
      <c r="AN95" s="19">
        <v>45222</v>
      </c>
      <c r="AO95" s="7" t="s">
        <v>488</v>
      </c>
      <c r="AP95" s="18">
        <v>25</v>
      </c>
      <c r="AQ95" s="19">
        <v>45257</v>
      </c>
      <c r="AR95" s="18" t="s">
        <v>897</v>
      </c>
      <c r="AS95" s="18" t="s">
        <v>898</v>
      </c>
      <c r="AT95" s="7" t="str">
        <f t="shared" si="23"/>
        <v>Ada</v>
      </c>
      <c r="AU95" s="18" t="s">
        <v>921</v>
      </c>
      <c r="AV95" s="7" t="str">
        <f t="shared" si="24"/>
        <v>Tidak ada</v>
      </c>
      <c r="AW95" s="7" t="str">
        <f t="shared" si="25"/>
        <v>Tidak Efektif</v>
      </c>
      <c r="AX95" s="18" t="s">
        <v>899</v>
      </c>
    </row>
    <row r="96" spans="1:50" ht="15.5" x14ac:dyDescent="0.35">
      <c r="A96" s="18">
        <v>42</v>
      </c>
      <c r="B96" s="18">
        <v>2060358</v>
      </c>
      <c r="C96" s="18" t="s">
        <v>900</v>
      </c>
      <c r="D96" s="21">
        <v>60</v>
      </c>
      <c r="E96" s="18" t="s">
        <v>901</v>
      </c>
      <c r="F96" s="18">
        <v>1.47</v>
      </c>
      <c r="G96" s="18" t="s">
        <v>902</v>
      </c>
      <c r="H96" s="18" t="s">
        <v>903</v>
      </c>
      <c r="I96" s="7" t="str">
        <f t="shared" si="26"/>
        <v>Tidak</v>
      </c>
      <c r="J96" s="7" t="str">
        <f t="shared" si="27"/>
        <v>Tidak</v>
      </c>
      <c r="K96" s="7" t="str">
        <f t="shared" si="28"/>
        <v>Tidak</v>
      </c>
      <c r="L96" s="7" t="str">
        <f t="shared" si="29"/>
        <v>Tidak</v>
      </c>
      <c r="M96" s="7" t="str">
        <f t="shared" si="30"/>
        <v>Tidak</v>
      </c>
      <c r="N96" s="7" t="str">
        <f t="shared" si="31"/>
        <v>Tidak</v>
      </c>
      <c r="O96" s="7" t="str">
        <f t="shared" si="32"/>
        <v>Tidak</v>
      </c>
      <c r="P96" s="7" t="str">
        <f t="shared" si="33"/>
        <v>Ya</v>
      </c>
      <c r="Q96" s="7" t="str">
        <f t="shared" si="34"/>
        <v>Tidak</v>
      </c>
      <c r="R96" s="7" t="str">
        <f t="shared" si="35"/>
        <v>Tidak</v>
      </c>
      <c r="S96" s="7" t="str">
        <f t="shared" si="36"/>
        <v>Tidak</v>
      </c>
      <c r="T96" s="7" t="str">
        <f t="shared" si="37"/>
        <v>Tidak</v>
      </c>
      <c r="U96" s="7" t="str">
        <f t="shared" si="38"/>
        <v>Tidak</v>
      </c>
      <c r="V96" s="7" t="str">
        <f t="shared" si="39"/>
        <v>Tidak</v>
      </c>
      <c r="W96" s="7" t="str">
        <f t="shared" si="40"/>
        <v>Tidak</v>
      </c>
      <c r="X96" s="7" t="str">
        <f t="shared" si="41"/>
        <v>Tidak</v>
      </c>
      <c r="Y96" s="19">
        <v>45083</v>
      </c>
      <c r="Z96" s="18" t="s">
        <v>904</v>
      </c>
      <c r="AA96" s="7">
        <f t="shared" si="42"/>
        <v>3</v>
      </c>
      <c r="AB96" s="7" t="str">
        <f t="shared" si="43"/>
        <v>Menjalar ke kulit/dinding dada</v>
      </c>
      <c r="AC96" s="7" t="str">
        <f t="shared" si="44"/>
        <v>Ya</v>
      </c>
      <c r="AD96" s="18" t="s">
        <v>905</v>
      </c>
      <c r="AE96" s="18" t="s">
        <v>31</v>
      </c>
      <c r="AF96" s="7" t="str">
        <f t="shared" si="45"/>
        <v>Maksektomi</v>
      </c>
      <c r="AG96" s="19">
        <v>45281</v>
      </c>
      <c r="AH96" s="18" t="s">
        <v>588</v>
      </c>
      <c r="AI96" s="19">
        <v>45146</v>
      </c>
      <c r="AJ96" s="18" t="s">
        <v>906</v>
      </c>
      <c r="AK96" s="18" t="s">
        <v>72</v>
      </c>
      <c r="AL96" s="19">
        <v>45259</v>
      </c>
      <c r="AM96" s="18" t="s">
        <v>169</v>
      </c>
      <c r="AN96" s="19">
        <v>45428</v>
      </c>
      <c r="AO96" s="18" t="s">
        <v>806</v>
      </c>
      <c r="AP96" s="18">
        <v>30</v>
      </c>
      <c r="AQ96" s="19">
        <v>45478</v>
      </c>
      <c r="AR96" s="18" t="s">
        <v>907</v>
      </c>
      <c r="AS96" s="18" t="s">
        <v>908</v>
      </c>
      <c r="AT96" s="7" t="str">
        <f t="shared" si="23"/>
        <v>Ada</v>
      </c>
      <c r="AU96" s="18" t="s">
        <v>921</v>
      </c>
      <c r="AV96" s="7" t="str">
        <f t="shared" si="24"/>
        <v>Tidak ada</v>
      </c>
      <c r="AW96" s="7" t="str">
        <f t="shared" si="25"/>
        <v>Tidak Efektif</v>
      </c>
      <c r="AX96" s="14" t="s">
        <v>430</v>
      </c>
    </row>
    <row r="97" spans="1:50" ht="15.5" x14ac:dyDescent="0.35">
      <c r="A97" s="18">
        <v>43</v>
      </c>
      <c r="B97" s="18">
        <v>2206078</v>
      </c>
      <c r="C97" s="18" t="s">
        <v>909</v>
      </c>
      <c r="D97" s="21">
        <v>51</v>
      </c>
      <c r="E97" s="18" t="s">
        <v>910</v>
      </c>
      <c r="F97" s="18">
        <v>1.32</v>
      </c>
      <c r="G97" s="18" t="s">
        <v>902</v>
      </c>
      <c r="H97" s="18" t="s">
        <v>91</v>
      </c>
      <c r="I97" s="7" t="str">
        <f t="shared" si="26"/>
        <v>Ya</v>
      </c>
      <c r="J97" s="7" t="str">
        <f t="shared" si="27"/>
        <v>Tidak</v>
      </c>
      <c r="K97" s="7" t="str">
        <f t="shared" si="28"/>
        <v>Tidak</v>
      </c>
      <c r="L97" s="7" t="str">
        <f t="shared" si="29"/>
        <v>Tidak</v>
      </c>
      <c r="M97" s="7" t="str">
        <f t="shared" si="30"/>
        <v>Tidak</v>
      </c>
      <c r="N97" s="7" t="str">
        <f t="shared" si="31"/>
        <v>Tidak</v>
      </c>
      <c r="O97" s="7" t="str">
        <f t="shared" si="32"/>
        <v>Tidak</v>
      </c>
      <c r="P97" s="7" t="str">
        <f t="shared" si="33"/>
        <v>Tidak</v>
      </c>
      <c r="Q97" s="7" t="str">
        <f t="shared" si="34"/>
        <v>Tidak</v>
      </c>
      <c r="R97" s="7" t="str">
        <f t="shared" si="35"/>
        <v>Tidak</v>
      </c>
      <c r="S97" s="7" t="str">
        <f t="shared" si="36"/>
        <v>Tidak</v>
      </c>
      <c r="T97" s="7" t="str">
        <f t="shared" si="37"/>
        <v>Tidak</v>
      </c>
      <c r="U97" s="7" t="str">
        <f t="shared" si="38"/>
        <v>Tidak</v>
      </c>
      <c r="V97" s="7" t="str">
        <f t="shared" si="39"/>
        <v>Tidak</v>
      </c>
      <c r="W97" s="7" t="str">
        <f t="shared" si="40"/>
        <v>Tidak</v>
      </c>
      <c r="X97" s="7" t="str">
        <f t="shared" si="41"/>
        <v>Tidak</v>
      </c>
      <c r="Y97" s="15">
        <v>45194</v>
      </c>
      <c r="Z97" s="14" t="s">
        <v>911</v>
      </c>
      <c r="AA97" s="7">
        <f t="shared" si="42"/>
        <v>3</v>
      </c>
      <c r="AB97" s="7" t="str">
        <f t="shared" si="43"/>
        <v>Menjalar ke kulit/dinding dada</v>
      </c>
      <c r="AC97" s="7" t="str">
        <f t="shared" si="44"/>
        <v>Ya</v>
      </c>
      <c r="AD97" s="18" t="s">
        <v>912</v>
      </c>
      <c r="AE97" s="18" t="s">
        <v>31</v>
      </c>
      <c r="AF97" s="7" t="str">
        <f t="shared" si="45"/>
        <v>Maksektomi</v>
      </c>
      <c r="AG97" s="15">
        <v>45373</v>
      </c>
      <c r="AH97" s="18" t="s">
        <v>588</v>
      </c>
      <c r="AI97" s="15">
        <v>45218</v>
      </c>
      <c r="AJ97" s="18" t="s">
        <v>913</v>
      </c>
      <c r="AK97" s="18" t="s">
        <v>72</v>
      </c>
      <c r="AL97" s="19">
        <v>45328</v>
      </c>
      <c r="AM97" s="18" t="s">
        <v>169</v>
      </c>
      <c r="AN97" s="19">
        <v>45439</v>
      </c>
      <c r="AO97" s="7" t="s">
        <v>488</v>
      </c>
      <c r="AP97" s="18">
        <v>25</v>
      </c>
      <c r="AQ97" s="19">
        <v>45476</v>
      </c>
      <c r="AR97" s="18" t="s">
        <v>914</v>
      </c>
      <c r="AS97" s="18" t="s">
        <v>915</v>
      </c>
      <c r="AT97" s="7" t="str">
        <f t="shared" si="23"/>
        <v>Tidak ada</v>
      </c>
      <c r="AU97" s="18" t="s">
        <v>921</v>
      </c>
      <c r="AV97" s="7" t="str">
        <f t="shared" si="24"/>
        <v>Tidak ada</v>
      </c>
      <c r="AW97" s="7" t="str">
        <f t="shared" si="25"/>
        <v>Efektif</v>
      </c>
      <c r="AX97" s="18" t="s">
        <v>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 Yandi Rahman</dc:creator>
  <cp:lastModifiedBy>Juli Yandi Rahman</cp:lastModifiedBy>
  <dcterms:created xsi:type="dcterms:W3CDTF">2025-04-08T13:17:17Z</dcterms:created>
  <dcterms:modified xsi:type="dcterms:W3CDTF">2025-04-09T07:54:44Z</dcterms:modified>
</cp:coreProperties>
</file>