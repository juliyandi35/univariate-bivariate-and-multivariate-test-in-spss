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Kerjaan\Research Consultant\Project P77790325 (Univariate, Bivariate, and Multivariate Test in SPSS)\"/>
    </mc:Choice>
  </mc:AlternateContent>
  <xr:revisionPtr revIDLastSave="0" documentId="13_ncr:1_{4C66DB07-DA5F-4739-9A3C-9475F8033919}" xr6:coauthVersionLast="47" xr6:coauthVersionMax="47" xr10:uidLastSave="{00000000-0000-0000-0000-000000000000}"/>
  <bookViews>
    <workbookView xWindow="-110" yWindow="-110" windowWidth="19420" windowHeight="10300" xr2:uid="{7C3A59E3-965B-4F20-8E64-1E789AF855B8}"/>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2" i="1"/>
  <c r="AH47" i="1"/>
  <c r="AF47" i="1"/>
  <c r="AC47" i="1"/>
  <c r="Y47" i="1"/>
  <c r="T47" i="1"/>
  <c r="R47" i="1"/>
  <c r="Q47" i="1"/>
  <c r="P47" i="1"/>
  <c r="O47" i="1"/>
  <c r="N47" i="1"/>
  <c r="M47" i="1"/>
  <c r="L47" i="1"/>
  <c r="K47" i="1"/>
  <c r="J47" i="1"/>
  <c r="I47" i="1"/>
  <c r="H47" i="1"/>
  <c r="G47" i="1"/>
  <c r="F47" i="1"/>
  <c r="E47" i="1"/>
  <c r="D47" i="1"/>
  <c r="C47" i="1"/>
  <c r="AH46" i="1"/>
  <c r="AF46" i="1"/>
  <c r="AC46" i="1"/>
  <c r="Y46" i="1"/>
  <c r="T46" i="1"/>
  <c r="R46" i="1"/>
  <c r="Q46" i="1"/>
  <c r="P46" i="1"/>
  <c r="O46" i="1"/>
  <c r="N46" i="1"/>
  <c r="M46" i="1"/>
  <c r="L46" i="1"/>
  <c r="K46" i="1"/>
  <c r="J46" i="1"/>
  <c r="I46" i="1"/>
  <c r="H46" i="1"/>
  <c r="G46" i="1"/>
  <c r="F46" i="1"/>
  <c r="E46" i="1"/>
  <c r="D46" i="1"/>
  <c r="C46" i="1"/>
  <c r="AH45" i="1"/>
  <c r="AF45" i="1"/>
  <c r="AC45" i="1"/>
  <c r="Y45" i="1"/>
  <c r="T45" i="1"/>
  <c r="R45" i="1"/>
  <c r="Q45" i="1"/>
  <c r="P45" i="1"/>
  <c r="O45" i="1"/>
  <c r="N45" i="1"/>
  <c r="M45" i="1"/>
  <c r="L45" i="1"/>
  <c r="K45" i="1"/>
  <c r="J45" i="1"/>
  <c r="I45" i="1"/>
  <c r="H45" i="1"/>
  <c r="G45" i="1"/>
  <c r="F45" i="1"/>
  <c r="E45" i="1"/>
  <c r="D45" i="1"/>
  <c r="C45" i="1"/>
  <c r="AH44" i="1"/>
  <c r="AF44" i="1"/>
  <c r="AC44" i="1"/>
  <c r="Y44" i="1"/>
  <c r="T44" i="1"/>
  <c r="R44" i="1"/>
  <c r="Q44" i="1"/>
  <c r="P44" i="1"/>
  <c r="O44" i="1"/>
  <c r="N44" i="1"/>
  <c r="M44" i="1"/>
  <c r="L44" i="1"/>
  <c r="K44" i="1"/>
  <c r="J44" i="1"/>
  <c r="I44" i="1"/>
  <c r="H44" i="1"/>
  <c r="G44" i="1"/>
  <c r="F44" i="1"/>
  <c r="E44" i="1"/>
  <c r="D44" i="1"/>
  <c r="C44" i="1"/>
  <c r="AH43" i="1"/>
  <c r="AF43" i="1"/>
  <c r="AC43" i="1"/>
  <c r="Y43" i="1"/>
  <c r="T43" i="1"/>
  <c r="R43" i="1"/>
  <c r="Q43" i="1"/>
  <c r="P43" i="1"/>
  <c r="O43" i="1"/>
  <c r="N43" i="1"/>
  <c r="M43" i="1"/>
  <c r="L43" i="1"/>
  <c r="K43" i="1"/>
  <c r="J43" i="1"/>
  <c r="I43" i="1"/>
  <c r="H43" i="1"/>
  <c r="G43" i="1"/>
  <c r="F43" i="1"/>
  <c r="E43" i="1"/>
  <c r="D43" i="1"/>
  <c r="C43" i="1"/>
  <c r="AH42" i="1"/>
  <c r="AF42" i="1"/>
  <c r="AC42" i="1"/>
  <c r="Y42" i="1"/>
  <c r="T42" i="1"/>
  <c r="R42" i="1"/>
  <c r="Q42" i="1"/>
  <c r="P42" i="1"/>
  <c r="O42" i="1"/>
  <c r="N42" i="1"/>
  <c r="M42" i="1"/>
  <c r="L42" i="1"/>
  <c r="K42" i="1"/>
  <c r="J42" i="1"/>
  <c r="I42" i="1"/>
  <c r="H42" i="1"/>
  <c r="G42" i="1"/>
  <c r="F42" i="1"/>
  <c r="E42" i="1"/>
  <c r="D42" i="1"/>
  <c r="C42" i="1"/>
  <c r="AH41" i="1"/>
  <c r="AF41" i="1"/>
  <c r="AC41" i="1"/>
  <c r="Y41" i="1"/>
  <c r="T41" i="1"/>
  <c r="R41" i="1"/>
  <c r="Q41" i="1"/>
  <c r="P41" i="1"/>
  <c r="O41" i="1"/>
  <c r="N41" i="1"/>
  <c r="M41" i="1"/>
  <c r="L41" i="1"/>
  <c r="K41" i="1"/>
  <c r="J41" i="1"/>
  <c r="I41" i="1"/>
  <c r="H41" i="1"/>
  <c r="G41" i="1"/>
  <c r="F41" i="1"/>
  <c r="E41" i="1"/>
  <c r="D41" i="1"/>
  <c r="C41" i="1"/>
  <c r="AH40" i="1"/>
  <c r="AF40" i="1"/>
  <c r="AC40" i="1"/>
  <c r="Y40" i="1"/>
  <c r="T40" i="1"/>
  <c r="R40" i="1"/>
  <c r="Q40" i="1"/>
  <c r="P40" i="1"/>
  <c r="O40" i="1"/>
  <c r="N40" i="1"/>
  <c r="M40" i="1"/>
  <c r="L40" i="1"/>
  <c r="K40" i="1"/>
  <c r="J40" i="1"/>
  <c r="I40" i="1"/>
  <c r="H40" i="1"/>
  <c r="G40" i="1"/>
  <c r="F40" i="1"/>
  <c r="E40" i="1"/>
  <c r="D40" i="1"/>
  <c r="C40" i="1"/>
  <c r="AH39" i="1"/>
  <c r="AF39" i="1"/>
  <c r="AC39" i="1"/>
  <c r="Y39" i="1"/>
  <c r="T39" i="1"/>
  <c r="R39" i="1"/>
  <c r="Q39" i="1"/>
  <c r="P39" i="1"/>
  <c r="O39" i="1"/>
  <c r="N39" i="1"/>
  <c r="M39" i="1"/>
  <c r="L39" i="1"/>
  <c r="K39" i="1"/>
  <c r="J39" i="1"/>
  <c r="I39" i="1"/>
  <c r="H39" i="1"/>
  <c r="G39" i="1"/>
  <c r="F39" i="1"/>
  <c r="E39" i="1"/>
  <c r="D39" i="1"/>
  <c r="C39" i="1"/>
  <c r="AH38" i="1"/>
  <c r="AF38" i="1"/>
  <c r="AC38" i="1"/>
  <c r="Y38" i="1"/>
  <c r="T38" i="1"/>
  <c r="R38" i="1"/>
  <c r="Q38" i="1"/>
  <c r="P38" i="1"/>
  <c r="O38" i="1"/>
  <c r="N38" i="1"/>
  <c r="M38" i="1"/>
  <c r="L38" i="1"/>
  <c r="K38" i="1"/>
  <c r="J38" i="1"/>
  <c r="I38" i="1"/>
  <c r="H38" i="1"/>
  <c r="G38" i="1"/>
  <c r="F38" i="1"/>
  <c r="E38" i="1"/>
  <c r="D38" i="1"/>
  <c r="C38" i="1"/>
  <c r="AH37" i="1"/>
  <c r="AF37" i="1"/>
  <c r="AC37" i="1"/>
  <c r="Y37" i="1"/>
  <c r="T37" i="1"/>
  <c r="R37" i="1"/>
  <c r="Q37" i="1"/>
  <c r="P37" i="1"/>
  <c r="O37" i="1"/>
  <c r="N37" i="1"/>
  <c r="M37" i="1"/>
  <c r="L37" i="1"/>
  <c r="K37" i="1"/>
  <c r="J37" i="1"/>
  <c r="I37" i="1"/>
  <c r="H37" i="1"/>
  <c r="G37" i="1"/>
  <c r="F37" i="1"/>
  <c r="E37" i="1"/>
  <c r="D37" i="1"/>
  <c r="C37" i="1"/>
  <c r="AH36" i="1"/>
  <c r="AF36" i="1"/>
  <c r="AC36" i="1"/>
  <c r="Y36" i="1"/>
  <c r="T36" i="1"/>
  <c r="R36" i="1"/>
  <c r="Q36" i="1"/>
  <c r="P36" i="1"/>
  <c r="O36" i="1"/>
  <c r="N36" i="1"/>
  <c r="M36" i="1"/>
  <c r="L36" i="1"/>
  <c r="K36" i="1"/>
  <c r="J36" i="1"/>
  <c r="I36" i="1"/>
  <c r="H36" i="1"/>
  <c r="G36" i="1"/>
  <c r="F36" i="1"/>
  <c r="E36" i="1"/>
  <c r="D36" i="1"/>
  <c r="C36" i="1"/>
  <c r="AH35" i="1"/>
  <c r="AF35" i="1"/>
  <c r="AC35" i="1"/>
  <c r="Y35" i="1"/>
  <c r="T35" i="1"/>
  <c r="R35" i="1"/>
  <c r="Q35" i="1"/>
  <c r="P35" i="1"/>
  <c r="O35" i="1"/>
  <c r="N35" i="1"/>
  <c r="M35" i="1"/>
  <c r="L35" i="1"/>
  <c r="K35" i="1"/>
  <c r="J35" i="1"/>
  <c r="I35" i="1"/>
  <c r="H35" i="1"/>
  <c r="G35" i="1"/>
  <c r="F35" i="1"/>
  <c r="E35" i="1"/>
  <c r="D35" i="1"/>
  <c r="C35" i="1"/>
  <c r="AH34" i="1"/>
  <c r="AF34" i="1"/>
  <c r="AC34" i="1"/>
  <c r="Y34" i="1"/>
  <c r="T34" i="1"/>
  <c r="R34" i="1"/>
  <c r="Q34" i="1"/>
  <c r="P34" i="1"/>
  <c r="O34" i="1"/>
  <c r="N34" i="1"/>
  <c r="M34" i="1"/>
  <c r="L34" i="1"/>
  <c r="K34" i="1"/>
  <c r="J34" i="1"/>
  <c r="I34" i="1"/>
  <c r="H34" i="1"/>
  <c r="G34" i="1"/>
  <c r="F34" i="1"/>
  <c r="E34" i="1"/>
  <c r="D34" i="1"/>
  <c r="C34" i="1"/>
  <c r="AH33" i="1"/>
  <c r="AF33" i="1"/>
  <c r="AC33" i="1"/>
  <c r="Y33" i="1"/>
  <c r="T33" i="1"/>
  <c r="R33" i="1"/>
  <c r="Q33" i="1"/>
  <c r="P33" i="1"/>
  <c r="O33" i="1"/>
  <c r="N33" i="1"/>
  <c r="M33" i="1"/>
  <c r="L33" i="1"/>
  <c r="K33" i="1"/>
  <c r="J33" i="1"/>
  <c r="I33" i="1"/>
  <c r="H33" i="1"/>
  <c r="G33" i="1"/>
  <c r="F33" i="1"/>
  <c r="E33" i="1"/>
  <c r="D33" i="1"/>
  <c r="C33" i="1"/>
  <c r="AH32" i="1"/>
  <c r="AF32" i="1"/>
  <c r="AC32" i="1"/>
  <c r="Y32" i="1"/>
  <c r="T32" i="1"/>
  <c r="R32" i="1"/>
  <c r="Q32" i="1"/>
  <c r="P32" i="1"/>
  <c r="O32" i="1"/>
  <c r="N32" i="1"/>
  <c r="M32" i="1"/>
  <c r="L32" i="1"/>
  <c r="K32" i="1"/>
  <c r="J32" i="1"/>
  <c r="I32" i="1"/>
  <c r="H32" i="1"/>
  <c r="G32" i="1"/>
  <c r="F32" i="1"/>
  <c r="E32" i="1"/>
  <c r="D32" i="1"/>
  <c r="C32" i="1"/>
  <c r="AH31" i="1"/>
  <c r="AF31" i="1"/>
  <c r="AC31" i="1"/>
  <c r="Y31" i="1"/>
  <c r="T31" i="1"/>
  <c r="R31" i="1"/>
  <c r="Q31" i="1"/>
  <c r="P31" i="1"/>
  <c r="O31" i="1"/>
  <c r="N31" i="1"/>
  <c r="M31" i="1"/>
  <c r="L31" i="1"/>
  <c r="K31" i="1"/>
  <c r="J31" i="1"/>
  <c r="I31" i="1"/>
  <c r="H31" i="1"/>
  <c r="G31" i="1"/>
  <c r="F31" i="1"/>
  <c r="E31" i="1"/>
  <c r="D31" i="1"/>
  <c r="C31" i="1"/>
  <c r="AH30" i="1"/>
  <c r="AF30" i="1"/>
  <c r="AC30" i="1"/>
  <c r="Y30" i="1"/>
  <c r="T30" i="1"/>
  <c r="R30" i="1"/>
  <c r="Q30" i="1"/>
  <c r="P30" i="1"/>
  <c r="O30" i="1"/>
  <c r="N30" i="1"/>
  <c r="M30" i="1"/>
  <c r="L30" i="1"/>
  <c r="K30" i="1"/>
  <c r="J30" i="1"/>
  <c r="I30" i="1"/>
  <c r="H30" i="1"/>
  <c r="G30" i="1"/>
  <c r="F30" i="1"/>
  <c r="E30" i="1"/>
  <c r="D30" i="1"/>
  <c r="C30" i="1"/>
  <c r="AH29" i="1"/>
  <c r="AF29" i="1"/>
  <c r="AC29" i="1"/>
  <c r="Y29" i="1"/>
  <c r="T29" i="1"/>
  <c r="R29" i="1"/>
  <c r="Q29" i="1"/>
  <c r="P29" i="1"/>
  <c r="O29" i="1"/>
  <c r="N29" i="1"/>
  <c r="M29" i="1"/>
  <c r="L29" i="1"/>
  <c r="K29" i="1"/>
  <c r="J29" i="1"/>
  <c r="I29" i="1"/>
  <c r="H29" i="1"/>
  <c r="G29" i="1"/>
  <c r="F29" i="1"/>
  <c r="E29" i="1"/>
  <c r="D29" i="1"/>
  <c r="C29" i="1"/>
  <c r="AH28" i="1"/>
  <c r="AF28" i="1"/>
  <c r="AC28" i="1"/>
  <c r="Y28" i="1"/>
  <c r="T28" i="1"/>
  <c r="R28" i="1"/>
  <c r="Q28" i="1"/>
  <c r="P28" i="1"/>
  <c r="O28" i="1"/>
  <c r="N28" i="1"/>
  <c r="M28" i="1"/>
  <c r="L28" i="1"/>
  <c r="K28" i="1"/>
  <c r="J28" i="1"/>
  <c r="I28" i="1"/>
  <c r="H28" i="1"/>
  <c r="G28" i="1"/>
  <c r="F28" i="1"/>
  <c r="E28" i="1"/>
  <c r="D28" i="1"/>
  <c r="C28" i="1"/>
  <c r="AH27" i="1"/>
  <c r="AF27" i="1"/>
  <c r="AC27" i="1"/>
  <c r="Y27" i="1"/>
  <c r="T27" i="1"/>
  <c r="R27" i="1"/>
  <c r="Q27" i="1"/>
  <c r="P27" i="1"/>
  <c r="O27" i="1"/>
  <c r="N27" i="1"/>
  <c r="M27" i="1"/>
  <c r="L27" i="1"/>
  <c r="K27" i="1"/>
  <c r="J27" i="1"/>
  <c r="I27" i="1"/>
  <c r="H27" i="1"/>
  <c r="G27" i="1"/>
  <c r="F27" i="1"/>
  <c r="E27" i="1"/>
  <c r="D27" i="1"/>
  <c r="C27" i="1"/>
  <c r="AH26" i="1"/>
  <c r="AF26" i="1"/>
  <c r="AC26" i="1"/>
  <c r="Y26" i="1"/>
  <c r="T26" i="1"/>
  <c r="R26" i="1"/>
  <c r="Q26" i="1"/>
  <c r="P26" i="1"/>
  <c r="O26" i="1"/>
  <c r="N26" i="1"/>
  <c r="M26" i="1"/>
  <c r="L26" i="1"/>
  <c r="K26" i="1"/>
  <c r="J26" i="1"/>
  <c r="I26" i="1"/>
  <c r="H26" i="1"/>
  <c r="G26" i="1"/>
  <c r="F26" i="1"/>
  <c r="E26" i="1"/>
  <c r="D26" i="1"/>
  <c r="C26" i="1"/>
  <c r="AH25" i="1"/>
  <c r="AF25" i="1"/>
  <c r="AC25" i="1"/>
  <c r="Y25" i="1"/>
  <c r="T25" i="1"/>
  <c r="R25" i="1"/>
  <c r="Q25" i="1"/>
  <c r="P25" i="1"/>
  <c r="O25" i="1"/>
  <c r="N25" i="1"/>
  <c r="M25" i="1"/>
  <c r="L25" i="1"/>
  <c r="K25" i="1"/>
  <c r="J25" i="1"/>
  <c r="I25" i="1"/>
  <c r="H25" i="1"/>
  <c r="G25" i="1"/>
  <c r="F25" i="1"/>
  <c r="E25" i="1"/>
  <c r="D25" i="1"/>
  <c r="C25" i="1"/>
  <c r="AH24" i="1"/>
  <c r="AF24" i="1"/>
  <c r="AC24" i="1"/>
  <c r="Y24" i="1"/>
  <c r="T24" i="1"/>
  <c r="R24" i="1"/>
  <c r="Q24" i="1"/>
  <c r="P24" i="1"/>
  <c r="O24" i="1"/>
  <c r="N24" i="1"/>
  <c r="M24" i="1"/>
  <c r="L24" i="1"/>
  <c r="K24" i="1"/>
  <c r="J24" i="1"/>
  <c r="I24" i="1"/>
  <c r="H24" i="1"/>
  <c r="G24" i="1"/>
  <c r="F24" i="1"/>
  <c r="E24" i="1"/>
  <c r="D24" i="1"/>
  <c r="C24" i="1"/>
  <c r="AH23" i="1"/>
  <c r="AF23" i="1"/>
  <c r="AC23" i="1"/>
  <c r="Y23" i="1"/>
  <c r="T23" i="1"/>
  <c r="R23" i="1"/>
  <c r="Q23" i="1"/>
  <c r="P23" i="1"/>
  <c r="O23" i="1"/>
  <c r="N23" i="1"/>
  <c r="M23" i="1"/>
  <c r="L23" i="1"/>
  <c r="K23" i="1"/>
  <c r="J23" i="1"/>
  <c r="I23" i="1"/>
  <c r="H23" i="1"/>
  <c r="G23" i="1"/>
  <c r="F23" i="1"/>
  <c r="E23" i="1"/>
  <c r="D23" i="1"/>
  <c r="C23" i="1"/>
  <c r="AH22" i="1"/>
  <c r="AF22" i="1"/>
  <c r="AC22" i="1"/>
  <c r="Y22" i="1"/>
  <c r="T22" i="1"/>
  <c r="R22" i="1"/>
  <c r="Q22" i="1"/>
  <c r="P22" i="1"/>
  <c r="O22" i="1"/>
  <c r="N22" i="1"/>
  <c r="M22" i="1"/>
  <c r="L22" i="1"/>
  <c r="K22" i="1"/>
  <c r="J22" i="1"/>
  <c r="I22" i="1"/>
  <c r="H22" i="1"/>
  <c r="G22" i="1"/>
  <c r="F22" i="1"/>
  <c r="E22" i="1"/>
  <c r="D22" i="1"/>
  <c r="C22" i="1"/>
  <c r="AH21" i="1"/>
  <c r="AF21" i="1"/>
  <c r="AC21" i="1"/>
  <c r="Y21" i="1"/>
  <c r="T21" i="1"/>
  <c r="R21" i="1"/>
  <c r="Q21" i="1"/>
  <c r="P21" i="1"/>
  <c r="O21" i="1"/>
  <c r="N21" i="1"/>
  <c r="M21" i="1"/>
  <c r="L21" i="1"/>
  <c r="K21" i="1"/>
  <c r="J21" i="1"/>
  <c r="I21" i="1"/>
  <c r="H21" i="1"/>
  <c r="G21" i="1"/>
  <c r="F21" i="1"/>
  <c r="E21" i="1"/>
  <c r="D21" i="1"/>
  <c r="C21" i="1"/>
  <c r="AH20" i="1"/>
  <c r="AF20" i="1"/>
  <c r="AC20" i="1"/>
  <c r="Y20" i="1"/>
  <c r="T20" i="1"/>
  <c r="R20" i="1"/>
  <c r="Q20" i="1"/>
  <c r="P20" i="1"/>
  <c r="O20" i="1"/>
  <c r="N20" i="1"/>
  <c r="M20" i="1"/>
  <c r="L20" i="1"/>
  <c r="K20" i="1"/>
  <c r="J20" i="1"/>
  <c r="I20" i="1"/>
  <c r="H20" i="1"/>
  <c r="G20" i="1"/>
  <c r="F20" i="1"/>
  <c r="E20" i="1"/>
  <c r="D20" i="1"/>
  <c r="C20" i="1"/>
  <c r="AH19" i="1"/>
  <c r="AF19" i="1"/>
  <c r="AC19" i="1"/>
  <c r="Y19" i="1"/>
  <c r="T19" i="1"/>
  <c r="R19" i="1"/>
  <c r="Q19" i="1"/>
  <c r="P19" i="1"/>
  <c r="O19" i="1"/>
  <c r="N19" i="1"/>
  <c r="M19" i="1"/>
  <c r="L19" i="1"/>
  <c r="K19" i="1"/>
  <c r="J19" i="1"/>
  <c r="I19" i="1"/>
  <c r="H19" i="1"/>
  <c r="G19" i="1"/>
  <c r="F19" i="1"/>
  <c r="E19" i="1"/>
  <c r="D19" i="1"/>
  <c r="C19" i="1"/>
  <c r="AH18" i="1"/>
  <c r="AF18" i="1"/>
  <c r="AC18" i="1"/>
  <c r="Y18" i="1"/>
  <c r="T18" i="1"/>
  <c r="R18" i="1"/>
  <c r="Q18" i="1"/>
  <c r="P18" i="1"/>
  <c r="O18" i="1"/>
  <c r="N18" i="1"/>
  <c r="M18" i="1"/>
  <c r="L18" i="1"/>
  <c r="K18" i="1"/>
  <c r="J18" i="1"/>
  <c r="I18" i="1"/>
  <c r="H18" i="1"/>
  <c r="G18" i="1"/>
  <c r="F18" i="1"/>
  <c r="E18" i="1"/>
  <c r="D18" i="1"/>
  <c r="C18" i="1"/>
  <c r="AH17" i="1"/>
  <c r="AF17" i="1"/>
  <c r="AC17" i="1"/>
  <c r="Y17" i="1"/>
  <c r="T17" i="1"/>
  <c r="R17" i="1"/>
  <c r="Q17" i="1"/>
  <c r="P17" i="1"/>
  <c r="O17" i="1"/>
  <c r="N17" i="1"/>
  <c r="M17" i="1"/>
  <c r="L17" i="1"/>
  <c r="K17" i="1"/>
  <c r="J17" i="1"/>
  <c r="I17" i="1"/>
  <c r="H17" i="1"/>
  <c r="G17" i="1"/>
  <c r="F17" i="1"/>
  <c r="E17" i="1"/>
  <c r="D17" i="1"/>
  <c r="C17" i="1"/>
  <c r="AH16" i="1"/>
  <c r="AF16" i="1"/>
  <c r="AC16" i="1"/>
  <c r="Y16" i="1"/>
  <c r="T16" i="1"/>
  <c r="R16" i="1"/>
  <c r="Q16" i="1"/>
  <c r="P16" i="1"/>
  <c r="O16" i="1"/>
  <c r="N16" i="1"/>
  <c r="M16" i="1"/>
  <c r="L16" i="1"/>
  <c r="K16" i="1"/>
  <c r="J16" i="1"/>
  <c r="I16" i="1"/>
  <c r="H16" i="1"/>
  <c r="G16" i="1"/>
  <c r="F16" i="1"/>
  <c r="E16" i="1"/>
  <c r="D16" i="1"/>
  <c r="C16" i="1"/>
  <c r="AH15" i="1"/>
  <c r="AF15" i="1"/>
  <c r="AC15" i="1"/>
  <c r="Y15" i="1"/>
  <c r="T15" i="1"/>
  <c r="R15" i="1"/>
  <c r="Q15" i="1"/>
  <c r="P15" i="1"/>
  <c r="O15" i="1"/>
  <c r="N15" i="1"/>
  <c r="M15" i="1"/>
  <c r="L15" i="1"/>
  <c r="K15" i="1"/>
  <c r="J15" i="1"/>
  <c r="I15" i="1"/>
  <c r="H15" i="1"/>
  <c r="G15" i="1"/>
  <c r="F15" i="1"/>
  <c r="E15" i="1"/>
  <c r="D15" i="1"/>
  <c r="C15" i="1"/>
  <c r="AH14" i="1"/>
  <c r="AF14" i="1"/>
  <c r="AC14" i="1"/>
  <c r="Y14" i="1"/>
  <c r="T14" i="1"/>
  <c r="R14" i="1"/>
  <c r="Q14" i="1"/>
  <c r="P14" i="1"/>
  <c r="O14" i="1"/>
  <c r="N14" i="1"/>
  <c r="M14" i="1"/>
  <c r="L14" i="1"/>
  <c r="K14" i="1"/>
  <c r="J14" i="1"/>
  <c r="I14" i="1"/>
  <c r="H14" i="1"/>
  <c r="G14" i="1"/>
  <c r="F14" i="1"/>
  <c r="E14" i="1"/>
  <c r="D14" i="1"/>
  <c r="C14" i="1"/>
  <c r="AH13" i="1"/>
  <c r="AF13" i="1"/>
  <c r="AC13" i="1"/>
  <c r="Y13" i="1"/>
  <c r="T13" i="1"/>
  <c r="R13" i="1"/>
  <c r="Q13" i="1"/>
  <c r="P13" i="1"/>
  <c r="O13" i="1"/>
  <c r="N13" i="1"/>
  <c r="M13" i="1"/>
  <c r="L13" i="1"/>
  <c r="K13" i="1"/>
  <c r="J13" i="1"/>
  <c r="I13" i="1"/>
  <c r="H13" i="1"/>
  <c r="G13" i="1"/>
  <c r="F13" i="1"/>
  <c r="E13" i="1"/>
  <c r="D13" i="1"/>
  <c r="C13" i="1"/>
  <c r="AH12" i="1"/>
  <c r="AF12" i="1"/>
  <c r="AC12" i="1"/>
  <c r="Y12" i="1"/>
  <c r="T12" i="1"/>
  <c r="R12" i="1"/>
  <c r="Q12" i="1"/>
  <c r="P12" i="1"/>
  <c r="O12" i="1"/>
  <c r="N12" i="1"/>
  <c r="M12" i="1"/>
  <c r="L12" i="1"/>
  <c r="K12" i="1"/>
  <c r="J12" i="1"/>
  <c r="I12" i="1"/>
  <c r="H12" i="1"/>
  <c r="G12" i="1"/>
  <c r="F12" i="1"/>
  <c r="E12" i="1"/>
  <c r="D12" i="1"/>
  <c r="C12" i="1"/>
  <c r="AH11" i="1"/>
  <c r="AF11" i="1"/>
  <c r="AC11" i="1"/>
  <c r="Y11" i="1"/>
  <c r="T11" i="1"/>
  <c r="R11" i="1"/>
  <c r="Q11" i="1"/>
  <c r="P11" i="1"/>
  <c r="O11" i="1"/>
  <c r="N11" i="1"/>
  <c r="M11" i="1"/>
  <c r="L11" i="1"/>
  <c r="K11" i="1"/>
  <c r="J11" i="1"/>
  <c r="I11" i="1"/>
  <c r="H11" i="1"/>
  <c r="G11" i="1"/>
  <c r="F11" i="1"/>
  <c r="E11" i="1"/>
  <c r="D11" i="1"/>
  <c r="C11" i="1"/>
  <c r="AH10" i="1"/>
  <c r="AF10" i="1"/>
  <c r="AC10" i="1"/>
  <c r="Y10" i="1"/>
  <c r="T10" i="1"/>
  <c r="R10" i="1"/>
  <c r="Q10" i="1"/>
  <c r="P10" i="1"/>
  <c r="O10" i="1"/>
  <c r="N10" i="1"/>
  <c r="M10" i="1"/>
  <c r="L10" i="1"/>
  <c r="K10" i="1"/>
  <c r="J10" i="1"/>
  <c r="I10" i="1"/>
  <c r="H10" i="1"/>
  <c r="G10" i="1"/>
  <c r="F10" i="1"/>
  <c r="E10" i="1"/>
  <c r="D10" i="1"/>
  <c r="C10" i="1"/>
  <c r="AH9" i="1"/>
  <c r="AF9" i="1"/>
  <c r="AC9" i="1"/>
  <c r="Y9" i="1"/>
  <c r="T9" i="1"/>
  <c r="R9" i="1"/>
  <c r="Q9" i="1"/>
  <c r="P9" i="1"/>
  <c r="O9" i="1"/>
  <c r="N9" i="1"/>
  <c r="M9" i="1"/>
  <c r="L9" i="1"/>
  <c r="K9" i="1"/>
  <c r="J9" i="1"/>
  <c r="I9" i="1"/>
  <c r="H9" i="1"/>
  <c r="G9" i="1"/>
  <c r="F9" i="1"/>
  <c r="E9" i="1"/>
  <c r="D9" i="1"/>
  <c r="C9" i="1"/>
  <c r="AH8" i="1"/>
  <c r="AF8" i="1"/>
  <c r="AC8" i="1"/>
  <c r="Y8" i="1"/>
  <c r="T8" i="1"/>
  <c r="R8" i="1"/>
  <c r="Q8" i="1"/>
  <c r="P8" i="1"/>
  <c r="O8" i="1"/>
  <c r="N8" i="1"/>
  <c r="M8" i="1"/>
  <c r="L8" i="1"/>
  <c r="K8" i="1"/>
  <c r="J8" i="1"/>
  <c r="I8" i="1"/>
  <c r="H8" i="1"/>
  <c r="G8" i="1"/>
  <c r="F8" i="1"/>
  <c r="E8" i="1"/>
  <c r="D8" i="1"/>
  <c r="C8" i="1"/>
  <c r="AH7" i="1"/>
  <c r="AF7" i="1"/>
  <c r="AC7" i="1"/>
  <c r="Y7" i="1"/>
  <c r="T7" i="1"/>
  <c r="R7" i="1"/>
  <c r="Q7" i="1"/>
  <c r="P7" i="1"/>
  <c r="O7" i="1"/>
  <c r="N7" i="1"/>
  <c r="M7" i="1"/>
  <c r="L7" i="1"/>
  <c r="K7" i="1"/>
  <c r="J7" i="1"/>
  <c r="I7" i="1"/>
  <c r="H7" i="1"/>
  <c r="G7" i="1"/>
  <c r="F7" i="1"/>
  <c r="E7" i="1"/>
  <c r="D7" i="1"/>
  <c r="C7" i="1"/>
  <c r="AH6" i="1"/>
  <c r="AF6" i="1"/>
  <c r="AC6" i="1"/>
  <c r="Y6" i="1"/>
  <c r="T6" i="1"/>
  <c r="R6" i="1"/>
  <c r="Q6" i="1"/>
  <c r="P6" i="1"/>
  <c r="O6" i="1"/>
  <c r="N6" i="1"/>
  <c r="M6" i="1"/>
  <c r="L6" i="1"/>
  <c r="K6" i="1"/>
  <c r="J6" i="1"/>
  <c r="I6" i="1"/>
  <c r="H6" i="1"/>
  <c r="G6" i="1"/>
  <c r="F6" i="1"/>
  <c r="E6" i="1"/>
  <c r="D6" i="1"/>
  <c r="C6" i="1"/>
  <c r="AH5" i="1"/>
  <c r="AF5" i="1"/>
  <c r="AC5" i="1"/>
  <c r="Y5" i="1"/>
  <c r="T5" i="1"/>
  <c r="R5" i="1"/>
  <c r="Q5" i="1"/>
  <c r="P5" i="1"/>
  <c r="O5" i="1"/>
  <c r="N5" i="1"/>
  <c r="M5" i="1"/>
  <c r="L5" i="1"/>
  <c r="K5" i="1"/>
  <c r="J5" i="1"/>
  <c r="I5" i="1"/>
  <c r="H5" i="1"/>
  <c r="G5" i="1"/>
  <c r="F5" i="1"/>
  <c r="E5" i="1"/>
  <c r="D5" i="1"/>
  <c r="C5" i="1"/>
  <c r="AH4" i="1"/>
  <c r="AF4" i="1"/>
  <c r="AC4" i="1"/>
  <c r="Y4" i="1"/>
  <c r="T4" i="1"/>
  <c r="R4" i="1"/>
  <c r="Q4" i="1"/>
  <c r="P4" i="1"/>
  <c r="O4" i="1"/>
  <c r="N4" i="1"/>
  <c r="M4" i="1"/>
  <c r="L4" i="1"/>
  <c r="K4" i="1"/>
  <c r="J4" i="1"/>
  <c r="I4" i="1"/>
  <c r="H4" i="1"/>
  <c r="G4" i="1"/>
  <c r="F4" i="1"/>
  <c r="E4" i="1"/>
  <c r="D4" i="1"/>
  <c r="C4" i="1"/>
  <c r="AH3" i="1"/>
  <c r="AF3" i="1"/>
  <c r="AC3" i="1"/>
  <c r="Y3" i="1"/>
  <c r="T3" i="1"/>
  <c r="R3" i="1"/>
  <c r="Q3" i="1"/>
  <c r="P3" i="1"/>
  <c r="O3" i="1"/>
  <c r="N3" i="1"/>
  <c r="M3" i="1"/>
  <c r="L3" i="1"/>
  <c r="K3" i="1"/>
  <c r="J3" i="1"/>
  <c r="I3" i="1"/>
  <c r="H3" i="1"/>
  <c r="G3" i="1"/>
  <c r="F3" i="1"/>
  <c r="E3" i="1"/>
  <c r="D3" i="1"/>
  <c r="C3" i="1"/>
  <c r="AH2" i="1"/>
  <c r="AF2" i="1"/>
  <c r="AC2" i="1"/>
  <c r="Y2" i="1"/>
  <c r="T2" i="1"/>
  <c r="R2" i="1"/>
  <c r="Q2" i="1"/>
  <c r="P2" i="1"/>
  <c r="O2" i="1"/>
  <c r="N2" i="1"/>
  <c r="M2" i="1"/>
  <c r="L2" i="1"/>
  <c r="K2" i="1"/>
  <c r="J2" i="1"/>
  <c r="I2" i="1"/>
  <c r="H2" i="1"/>
  <c r="G2" i="1"/>
  <c r="F2" i="1"/>
  <c r="E2" i="1"/>
  <c r="D2" i="1"/>
  <c r="C2" i="1"/>
</calcChain>
</file>

<file path=xl/sharedStrings.xml><?xml version="1.0" encoding="utf-8"?>
<sst xmlns="http://schemas.openxmlformats.org/spreadsheetml/2006/main" count="359" uniqueCount="221">
  <si>
    <t>Fatty liver</t>
  </si>
  <si>
    <t xml:space="preserve">Stadium IIIB, metastasis KGB aksila ipsilateral level I dan II, metastasis tak dapat dinilai </t>
  </si>
  <si>
    <t>T4BN1Mx</t>
  </si>
  <si>
    <t>Luminal B HER2 Negative</t>
  </si>
  <si>
    <t>T4</t>
  </si>
  <si>
    <t>Neoadjuvan</t>
  </si>
  <si>
    <t>2 bulan setelah terapi: tidak tampak pulmonal metastasis, 4 bulan setelah terapi: tidak tampak skeletal metastasis</t>
  </si>
  <si>
    <t xml:space="preserve">7 bulan setelah terapi: tidak tampak residif mass pada dinding dada dextra, tak tampak kelainan pada mammae sinistra, 8 bulan setelah terapi: tidak tampak pulmonal metastasis, 9 bulan setelah terapi: tidak tampak kelainan pada abdomen, 12 bulan setelah terapi: tidak tampak resisidf mass pada dinding dada dextra dan mammae sinistra, 13 bulan setelah terapi: tidak tampak pulmonal metastasis. </t>
  </si>
  <si>
    <t>Diabetes Melitus</t>
  </si>
  <si>
    <t xml:space="preserve">Stadium IIIA, metastasis pada KGB aksila ipsilateral , metastasis jauh tak dapat dinilai </t>
  </si>
  <si>
    <t>pT3N1Mx</t>
  </si>
  <si>
    <t xml:space="preserve">Luminal B  HER2 Negatif </t>
  </si>
  <si>
    <t>T3</t>
  </si>
  <si>
    <t xml:space="preserve">1 bulan setelah terapi: pasien mengalami metastasis pada osteoclastic </t>
  </si>
  <si>
    <t xml:space="preserve">Stadium IIA, tak ada metastasis KGB, metastasis jauh tidak dapat dinilai </t>
  </si>
  <si>
    <t>T2N0M0</t>
  </si>
  <si>
    <t xml:space="preserve">Luminal A HER2 Negative </t>
  </si>
  <si>
    <t>T2</t>
  </si>
  <si>
    <t>1 bulan setelah terapi: edema subcutis, seroma (post op), small fibrocystic lesion, 2 bulan setelah terapi: tidak tampak khas adanya tanda metastasis osteoblastik, 4 bulan setelah terapi: tidak tampak pulmonal metastasis, 5 bulan setelah terapi: tidak tampak metastasis abdomen</t>
  </si>
  <si>
    <t>9 bulan setelah terapi: multiple fibrocystic lesion arah mammae dextra, 10 bulan setelah terapi: tidak tampak metastasis abdomen, 11 bulan setelah terapi: tidak tampak pulmonal metastasis.</t>
  </si>
  <si>
    <t>Hipertensi, anemia</t>
  </si>
  <si>
    <t xml:space="preserve">Stadium IIIB, Metastasis pada KGB aksila ipsilateral level I dan II,  metastasis jauh tidak dapat dinilai </t>
  </si>
  <si>
    <t>T4BN1M0</t>
  </si>
  <si>
    <t xml:space="preserve">Luminal B HER2 Negative </t>
  </si>
  <si>
    <t xml:space="preserve">Neoadjuvan </t>
  </si>
  <si>
    <t>1 bulan setelah terapi: multiple nodal metastasis axillary tail sinistra, infraclavicular sinistra, dan mammae sinistra, 2 bulan setelah terapi: tidak tampak pulmonal metastasis, 6 bulan setelah terapi: osteoblastoc tipe skeletal metastasis pada vertebra lumbal dan os femur dextra</t>
  </si>
  <si>
    <t>Anemia</t>
  </si>
  <si>
    <t>T2NxMx</t>
  </si>
  <si>
    <t xml:space="preserve"> Luminal B HER2 Negative</t>
  </si>
  <si>
    <t>2 bulan setelah terapi: tidak tampak kelainan pada mammae dextra dan sinistra, 3 bulan setelah terapi: tidak tampak metastasis pada abdomen, 4 bulan setelah terapi: tidak tampak metastasis pada tulang.</t>
  </si>
  <si>
    <t>11 bulan setelah terapi: edema subcutan mammae dextra, tak tampak residu/residif mammae dextra, 12 bulan setelah terapi: tidak tampak kelainan pada abdomen.</t>
  </si>
  <si>
    <t xml:space="preserve">Stadium IIIA, metastasis pada KGB aksila ipsilateral, terdapat metastasis jauh </t>
  </si>
  <si>
    <t>pT3N1M1</t>
  </si>
  <si>
    <t>Triple Negative</t>
  </si>
  <si>
    <t>1 bulan setelah terapi: tidak tampak skeletal metastasis dan tidak tampak kelainan pada residual/residif mass pada dinding dada dextra dan tidak ada kelainan pada mammae sinistra, 2 bulan setelah terapi: multiple limfadenopati axillary tail sinistra mengarah gambaran nodal metastasis, tidak ada residual/resisidf mass pada dinding dada dextra, 3 bulan setelah terapi: tidak tampak pulmonal metastasis.</t>
  </si>
  <si>
    <t xml:space="preserve">8 bulan setelah terapi: tidak tampak residual/residif mass pada dinding dada dextra, tidak ada kelainan pada mammae sinistra, 9 bulan setelah terapi: tidak tampak pulmonal metastasis, 15 bulan setelah terapi: tidak tampak residual/resisidf mass pada dinding dada dextra et sinistra, 16 bulan setelah terapi: tidak tampak pulmonal metastasis, 18 bulan setelah terapi: tidak tampak kelainan pada abdomen, 19 bulan setelah terapi: tidak tampak skeletal metastasis, 22 bulan setelah terapi: tidak tampak residual/resisidf mass pada dinding dada dextra, lesi solid inhomogen mammae sinistra, 24 bulan setelah terapi: tidak tampak pulmonal metastasis,  25 bulan setelah terapi: tidak tampak kelainan pada abdomen. </t>
  </si>
  <si>
    <t xml:space="preserve">Stadium IIA, tak ada metastasis KGB, terdapat metastasis jauh </t>
  </si>
  <si>
    <t>pT2N0M1</t>
  </si>
  <si>
    <t xml:space="preserve">2 bulan setelah terapi: curiga nodal metas axillary tail dextra, tak tampak residual/resisidf mass pada dinding dada dextra. </t>
  </si>
  <si>
    <t xml:space="preserve">14 bulan setelah terapi: tidak tampak residual/residif mass pada dinding dada sinistra dan tidak tampak pulmonal metastasis. </t>
  </si>
  <si>
    <t>Stadium IA, tak ada metastasis KGB regional, tak ada metastasis jauh</t>
  </si>
  <si>
    <t>pT1N0Mx</t>
  </si>
  <si>
    <t xml:space="preserve">Triple Negative </t>
  </si>
  <si>
    <t>T1</t>
  </si>
  <si>
    <t>1 bulan setelah terapi: tidak tampak pulmonal metastasis, 2 bulan setelah terapi: nodal metastasis axillary dextra, tak tampak residual/resididf mass pada dinding dada sinistra, 5 bulan setelah terapi: tidak tampak metastasis osteoblastic, 6 bulan setelah terapi: tidak tampak skeletal metastasis.</t>
  </si>
  <si>
    <t xml:space="preserve">7 bulan setelah terapi: multiple lesi hypoechoic pada lobus sinistra hepar mengarah gambaran hepatal metastasis, nodular type pulmonal metastasis, efusi pleura sinistra mengarah gambaran subpleural type pulmonal metastasis. </t>
  </si>
  <si>
    <t xml:space="preserve">pT1bN2aMx </t>
  </si>
  <si>
    <t>2 bulan setelah terapi: tak tampak residual/resisidf  mass pada dinding dada sinistra et dextra, 4 bulan setelah terapi: tidak tampak kelainan pada abdomen, 6 bulan setelah terapi: tak tampak skeletal metastasis</t>
  </si>
  <si>
    <t xml:space="preserve">8 bulan setelah terapi: tidak tampak pulmonal metastasis, 9 bulan setelah terapi: tak tampak residual/residif mass pada dinding dada sinistra et dextra, 11 bulan setelah terapi: tak tampak metastasis pada hepar, 15 bulan setelah terapi: tak tampak pulmonal metastasis, 16 bulan setelah terapi: tak tampak residual/residif mass pada dinding dada sinistra et dextra, 17 bulan setelah terapi: hepatomegaly dengan fatty liver, tidak tampak metastasis abdomen, 19 bulan setelah terapi: tak tampak skeletal metastasis, 22 bulan setelah terapi: tak tampak residual/residif mass pada dinding dada sinistra et dextra, 23 bulan setelah terapi: tidak tampak metastasis abdomen. </t>
  </si>
  <si>
    <t>pT3N2aMx</t>
  </si>
  <si>
    <t xml:space="preserve">9 bulan setelah terapi: tidak tampak residual/resisidf mass pada dinding dada dextra et sinistra, 14 bulan setelah terapi: curiga hepatal metastasis, 17 bulan setelah terapi: multiple hepatal cyst dan metastasis pada proteksi os vertebrae lumbal </t>
  </si>
  <si>
    <t>Stadium IIIC, metastasis pada KGB infraklavikula ipsialteral, metastasis jauh tak bisa dinilai</t>
  </si>
  <si>
    <t>pT3N3aMx</t>
  </si>
  <si>
    <t xml:space="preserve">Luminal A HER 2 Positif </t>
  </si>
  <si>
    <t>1 bulan setelah terapi: multiple hepatal metastasis dengan hepatomegaly, 2 bulan setelah terapi: pneumonic type pulmonal metastasis</t>
  </si>
  <si>
    <t>pT1aN2aMx</t>
  </si>
  <si>
    <t>1 bulan setelah terapi: residu mass mammae sinistra, tidak ada kelainan dextra, tidak ada metastasis pada abdomen, tidak ada metastasis pada thorax</t>
  </si>
  <si>
    <t xml:space="preserve">7 bulan setelah terapi: penebalan dinding cutis dengan seroma dinding dada anterolatera sinistra,  tidak ada metastasis pada abdomen, tidak ada metastasis pada pulmonal. 15 bulan setelah terapi: tidak tampak pulmonal metastasis. 18 bulan setelah terapi: tak tampak residual/residif mass pada dinding dada sinistra et dextra, 19 bulan setelah terapi: tidak ada kelainan pada hepar, 21 bulan setelah terapi: tidak tampak bone metastasis, 22 bulan setelah terapi: tidak tampak pulmonal metastasis. </t>
  </si>
  <si>
    <t xml:space="preserve">Stadium IIB, metastasis pada KGB aksila ipsilateral level I dan II,  tak ada metastasis jauh </t>
  </si>
  <si>
    <t>T2N1M0</t>
  </si>
  <si>
    <t xml:space="preserve">2 bulan setelah terapi: tidak tampak kelainan pada mammae dextra dan sinistra, 3 bulan setelah terapi: tidak ada kelainan pada abdomen, 4 bulan setelah terapi: tidak tampak metastasis pada skeletal. </t>
  </si>
  <si>
    <t>10 bulan setelah terapi: komposisi jaringan payudara scattered (tipe b), edema subcutan mammae dextra tetapi tidak ada residu/residif, 11 bulan setelah terapi: tidaka da kelainan pada abdomen</t>
  </si>
  <si>
    <t xml:space="preserve">Hipertensi, anemia </t>
  </si>
  <si>
    <t xml:space="preserve">Stadium IIIB, 1-3 KGB aksila, metastasis jauh tidak dapat dinilai </t>
  </si>
  <si>
    <t>pT4bN1aMx</t>
  </si>
  <si>
    <t>1 bulan setelah terapi: tidak tampak kelainan pulmonal,  3 bulan setelah terapi: metastasis pada limfonodi axilla sinistra, tidak ada residu/residif mass pada dinding dada sinistra et dextra, 6 bulan setelah terapi: tidak tampak metastasis skeletal</t>
  </si>
  <si>
    <t>8 bulan setelah terapi: tidak ada kelainan pada abdomen, 11 bulan setelah terapi: tidak tampak pulmonal metastasis</t>
  </si>
  <si>
    <t xml:space="preserve">Hipertensi, kholelitiasis </t>
  </si>
  <si>
    <t xml:space="preserve">Stadium IIb,tidak ada metastasis KGB regional, metastasis jauh tidak dapat dinilai </t>
  </si>
  <si>
    <t>T3N0Mx</t>
  </si>
  <si>
    <t>HER2 Enriched</t>
  </si>
  <si>
    <t>2 bulan setelah terapi: tidak tampak adanya metastasis skeletal, 3 bulan setelah terapi: tidak tampak residual/residif mass pada dinding dada sinistra, 4 bulan setelah terapi: tidak tampak kelainan pada abdomen</t>
  </si>
  <si>
    <t>11 bulan setelah terapi: tidak tampak residual/residif mass pada dinding dada sinistra et dextra, tidak ada kelainan pada abdomen, 14 bulan setelah terapi: tidak tampak adanya metastasis skeletal, tidak tampak kelainan pada galndula throidea, 21 bulan setelah terapi: tidak tampak residual/resididf mass pada dinding dada sinistra et dextra, tidak tampak metastasis pada skeletal, tidak tampak pulmonal metastasis</t>
  </si>
  <si>
    <t>hipertensi</t>
  </si>
  <si>
    <t xml:space="preserve">Stadium IIB, metastasis pada KGB aksila ipsilateral level I dan II, metastasis jauh tidak dapat dinilai </t>
  </si>
  <si>
    <t xml:space="preserve">1 bulan setelah terapi: massa solid di mammae sinistra, simple cyst mammae sinistra, seroma minimal di suprasutura dan infrasutura dinding dada dextra aspek lateral, 2 bulan setelah terapi: tak tampak abdominal metastasis, tidak tampak pulmonal metastasis, ada proses metastasis osteoblastic </t>
  </si>
  <si>
    <t xml:space="preserve">7 bulan setelah terapi: fibroadnoma mammae sinistra, seroma minimal di suprasutura dan infrasutura dinding dada dextra aspek lateral, 9 bulan setelah terapi: multipe osteoblastic skeletal metastasis </t>
  </si>
  <si>
    <t xml:space="preserve">Anemia gravis 
Ulkus kronik malignat 
Fatty liver 
</t>
  </si>
  <si>
    <t>Stadium IIB, tak ada metastasis KGB regional, metastasis jauh tak dapat dinilai</t>
  </si>
  <si>
    <t>pT3N0Mx</t>
  </si>
  <si>
    <t>Luminal B HER2 Positive</t>
  </si>
  <si>
    <t xml:space="preserve">1 bulan setelah terapi: soft tissue swelling disertai seroma pada axillary tail sinistra, tidak ada residual/resididf mass pada dinding dada sinistra, </t>
  </si>
  <si>
    <t xml:space="preserve">10 bulan setelah terapi: tidak tampak residual/residif mass pada dinding dada sinistra, 11 bulan setetelah terapi: tidak ada kelainan pada abdomen, 13 bulan setelah terapi: tidak tampak pulmonal metastasis, 18 bulan setelah terapi: tak tampak residual/residif mass pada dinding dada sinistra, 19 bulan setelah terapi: tidak ada kelainan pada abdomen, 20 bulan setelah terapi: tidak tampak pulmonal metastasis </t>
  </si>
  <si>
    <t>pT2N2aMx</t>
  </si>
  <si>
    <t xml:space="preserve">Luminal B HER 2 Positif </t>
  </si>
  <si>
    <t xml:space="preserve">2 bulan setelah terapi: lesi hypoechoic regio aksila dextra mengarah subcutaneous absen, tidak tampak residual/resididf mass pada dinding dada dextra, 6 bulan setelah terapi: tidak ada masalah pada abdomen, tidak ada metastasis pada tulang </t>
  </si>
  <si>
    <t>15 bulan setelah terapi: multiple nodul pulmo bilateral mengatah nodula type pulmonal metastasis</t>
  </si>
  <si>
    <t xml:space="preserve">8 bulan setelah terapi: multiple breast mass sinistra, tidak tampak kelainan di dinding dada anterior dextra, 9 bulan setelah terapi: adanya proses metastasis osteoblastic </t>
  </si>
  <si>
    <t xml:space="preserve">Stadium IIIB, metastasis KGB aksila ipsilateral level I dan II, tidak ada metastasis jauh </t>
  </si>
  <si>
    <t>CT4BN1M0</t>
  </si>
  <si>
    <t xml:space="preserve">Luminal B HER2 Negative  </t>
  </si>
  <si>
    <t xml:space="preserve">2 bulan setelah terapi: tak tampak residual/residif mass pada dinding dada dextra et sinistra, </t>
  </si>
  <si>
    <t xml:space="preserve">7 bulan setelah terapi: tak tampak residual/residif mass pada dinding dada dextra et sinistra, 9 bulan setelah terapi: tidak tampak kelainan pada abdomen, 10 bulan setelah terapi: tidak tampak metastasis pada tulang, 16 bulan setelah terapi: complex cyst mammae sinistra, tidak tampak residual/residif mass pada dinding dada dextra et sinistra, 19 bulan setelah terapi: terdapat proses metastasis osteoblastic. </t>
  </si>
  <si>
    <t xml:space="preserve">Hipertensi 
Gagal jantung/Heart failure 
</t>
  </si>
  <si>
    <t xml:space="preserve">Stadium IIIC, metastasis pada KGB infraklavikula ipsialteral, tak ada metastasis jauh </t>
  </si>
  <si>
    <t>CT4Bn3CM0</t>
  </si>
  <si>
    <t xml:space="preserve">Luminal B- HER 2 positive </t>
  </si>
  <si>
    <t>1 bulan setelah terapi: tidak tampak gambaran brain metastasis, 2 bulan setelah terapi: tidak tampak residual/residif mass pada dinding dada dextra et sinistra, 4 bulan setelah terapi: tidak tampak skeletal metastasis, 6 bulan setelah terapi: tidak tampak kelainan pada abdomen</t>
  </si>
  <si>
    <t>8 bulan setelah terapi: fatty fibroglandular breast dextra, tidak tampak malignancy,  9 bulan setelah terapi: tidak tampak skeletal metastasis. 10 bulan setelah terapi: tidak tampak residu/resididf mass pada dinding dada sinistra et dextra, 12 bulan setelah terapi: tidak tampak kelainan pada glandula thyroidea, 13 bulan setelah terapi: tidak ada metastasis pada abdomen, 14 bulan setelah terapi: tidak ada metastasis pada skeletal</t>
  </si>
  <si>
    <t xml:space="preserve">Stadium IIIA, tak ada metastasis KGB regional , tak ada metastasis jauh </t>
  </si>
  <si>
    <t>T4N0Mx</t>
  </si>
  <si>
    <t>7 bulan setelah terapi: simple cyst ren dextra sesuai klasifikasi bosniak tipe 1, tidak tampak metastasis osteoblastic, 15 bulan setelah terapi: metastasis osteoblastic</t>
  </si>
  <si>
    <t>T3N2M0</t>
  </si>
  <si>
    <t>Luminal A HER2 Negative</t>
  </si>
  <si>
    <t>1 bulan setelah terapi: tidak tampak fraktur maupun dislokasi pada femur, 4 bulan setelah terapi: pasien mengalami metastasis osteoblastik</t>
  </si>
  <si>
    <t>Stadium IIIB, metastasis pada KGB aksila ipsilateral, metastasis jauh tidak dapat</t>
  </si>
  <si>
    <t>T4BN2Mx</t>
  </si>
  <si>
    <t xml:space="preserve">1 bulan setelah terapi: tidak tampak residual/residif mass pada dinding dada dextra, 3 bulan setelah terapi: tidak tampak skeletal metastasis, 6 bulan setelah terapi: tidak tampak residu/residif mass pada dinding dada dextra. </t>
  </si>
  <si>
    <t xml:space="preserve">9 bulan setelah terapi: nodul dengan cavitas paracardial dextra suspek type pulmonal metastasis, tenting diafragma dextra, 12 bulan setelah terapi: nodul dengan cavitas paracardial dextra suspek type pulmonal metastasis, tenting diafragma dextra. </t>
  </si>
  <si>
    <t xml:space="preserve">T4BN2Mx </t>
  </si>
  <si>
    <t>1 bulan setelah terapi: tidak tampak residual/residif mass pada dinding dada dextra, 3 bulan setelah terapi: tidak tampak skeletal metastasis, 6 bulan setelah terapi: tidak tampak residu/resididf mass pada dinding dada dextra</t>
  </si>
  <si>
    <t xml:space="preserve">8 bulan setelah terapi: tampaj pulmonal metastasis </t>
  </si>
  <si>
    <t xml:space="preserve">Stadium IIB, 1-3 KGB aksila, metastasis jauh tak dapat dinilai. </t>
  </si>
  <si>
    <t>T2N1aMx</t>
  </si>
  <si>
    <t xml:space="preserve">Luminal B HER2 Positif </t>
  </si>
  <si>
    <t>2 bulan setelah terapi: tidak tampak residual/residif mass pada dinding dada dextra, tidak ada kelainan pada mammae sinistra, 3 bulan setelah terapi: tidak tampak tanda metastasis, 5 bulan setelah terapi:  tidak tampak metastasis osteoblastik/</t>
  </si>
  <si>
    <t xml:space="preserve">9 bulan setelah terapi: tidak tampak pulmonal metastasis, 10 bulan setelah terapi: fibroadenoma mammae sinistra, tidak tampak residu/resididf mass dinding mammae dextra,  11 bulan setelah terapi tidak tampak kelainan abdomen dan tidak tampak metastasis tulang, 14 bulan setelah terapi: parotis sinistra dengan lesi intraglandular, 15 bulan setelah terapi: cyst haper lobus dextra, tidak tampak kelainan pada abdomen. </t>
  </si>
  <si>
    <t xml:space="preserve">Stadium IIB,tidak ada metastasis KGB regional, metastasis jauh tidak dapat dinilai </t>
  </si>
  <si>
    <t>2 bulan setelah terapi: tidak tampak residual/residif mass pada dinding dada sinistra, tidak tampak kelainan pada mammae dextra, 3 bulan setelah terapi: tidak ada kelainan pada abdomen, 4 bulan setelah terapi: tidak tampak skeletal metastasis</t>
  </si>
  <si>
    <t>9 bulan setelah terapi: tidak tampak residual/residif mass pada dinding dada sinistra, 10 bulan setelah terapi: tidak tampak kelainan pada abdomen, 13 bulan setelah terapiL tidak tampak metastasis skeletal, 17 bulan setelah terapi: osteoblastic type skeletal metastasis.</t>
  </si>
  <si>
    <t>Stadium IIA, metastasis pada KGB aksila ipsilateral, metastastasis jauh tak dapat dinilai</t>
  </si>
  <si>
    <t xml:space="preserve">pT3N2aMx </t>
  </si>
  <si>
    <t xml:space="preserve">Luminal B HER2 Negatif </t>
  </si>
  <si>
    <t>2 bulan setelah terapi: adanya metastasis osteoblastic yang luas pada proyeksi os calvaria, os costae IV sinistra, os vertebrae torakal dan os pelvis</t>
  </si>
  <si>
    <t>DM, fatty liver</t>
  </si>
  <si>
    <t xml:space="preserve">Stadium IIA, 1-3 KGB aksila, metastasis jauh tak dapat dinilai </t>
  </si>
  <si>
    <t xml:space="preserve">pT1cN1aMx </t>
  </si>
  <si>
    <t>1 bulan setelah terapi: tidak tampak kelainan pada abdomen dan tidak tampak pulmonal metastasis, tidak tampak skeletal metastasis, 3 bulan setelah terapi: tidak tampak residual/residif mass pada dinding dada sinistra et dextra, 6 bulan setelah terapi: tidak tampak kelainan pada abdomen.</t>
  </si>
  <si>
    <t xml:space="preserve">7 bulan setelah terapi: tidak tampak skeletal metastasis dan tidak tampak pulmonal metastasis, 10 bulan setelah terapi: tidak tampak residual/resididf mass pada dinding dada sinistra et dextra, 13 bulan setelah terapi: focal nodul kanan hepar suspek hepatal metastasis dd sparing fatty liver, kemudian dilakukan MSCT abdomen simple spenic cyst, tidak tampak metastasis pada abdomen, 14 bulan setelah terapi: tidak tampak pulmonal metastasis </t>
  </si>
  <si>
    <t xml:space="preserve">Hipertensi </t>
  </si>
  <si>
    <t xml:space="preserve">pT3N0Mx </t>
  </si>
  <si>
    <t xml:space="preserve">Luminal B Her2 positive </t>
  </si>
  <si>
    <t>1 bulan setelah terapi: tak tampak residu/residf mass pada dinding dada dextra et sinistra. 2 bulan setelah terapi: tak tampak pulmonal metastasi</t>
  </si>
  <si>
    <t>9 bulan setelah terapi: tak tampak kelainan pada abdomen, 10 bulan setelah terapi: tak tampak pulmonal metastasis, 13 bulan setelah terapi: tak tampak residu/resididf mass pada dinding dada dextra, 15 bulan setelah terapi: tak tampak kelainan pada abdomen, 16 bulan setelah terapi: osteoclastic tipe skeletal metastasis</t>
  </si>
  <si>
    <t xml:space="preserve">Aritmia </t>
  </si>
  <si>
    <t xml:space="preserve">pT4N1Mx </t>
  </si>
  <si>
    <t>2 bulan setelah terapi: tak tampak skeletal metastasis osteoblastic, tidak tampak residu/residif mass di dinding dada dextra, 4 bulan setelah terapi: tak tampak pulmonal metastasis dan tidak tampak kelainan pada abdomen, 6 bulan setelah terapi: limfonodi reaktif axilla dextra (locoregional)</t>
  </si>
  <si>
    <t xml:space="preserve">7 bulan setelah terapi: fatty lobule jam 1 mammae sinistra, tak tampak residu/residif mass di dinding dada dextra, 10 bulan setelah terapi: tak tampak residu/residif mass di dinding dda dextra, tak tampak skeletal metastasis, 12 bulan setelah terapi: tak tampak metastasis pada abdomen, 14 bulan setelah terapi: tak tampak skeletal metastasis. </t>
  </si>
  <si>
    <t>Hipertensi</t>
  </si>
  <si>
    <t xml:space="preserve">pT2N1aMx </t>
  </si>
  <si>
    <t>1 bulan setelah terapi: fibrosis perisutura dextra (locoregional), tak tampak kelainan pada sinistra, 3 bulan setelah terapi: tak tampak skeletal metastasis, 4 bulan setelah terapi: tak tampak pulmonal metastasis, 5 bulan setelah terapi: tak tampak kelainan abdomen.</t>
  </si>
  <si>
    <t>8 bulan setelah terapi: fibrosis perisutura dextra (locoregional), 11 bulan setelah terapi: tak tampak pulmonal metastasis.</t>
  </si>
  <si>
    <t>Stadium IIIB, KGB regional tak dapat dinilai, metastasis tak dapat dinilai</t>
  </si>
  <si>
    <t xml:space="preserve">pT4aNxMx </t>
  </si>
  <si>
    <t>2 bulan setelah terapi: tak tampak pulmonal metastasis, 3 bulan setelah terapi: multiple fibroadenoma mammae dextra (locoregional).</t>
  </si>
  <si>
    <t>7 bulan setelah terapi: tak tampak kelainan pada abdomen, 8 bulan setelah terapi: fibroadenoma pada mammae dextra, 9 bulan setelah terapi: tidak tampak kelainan pada abdomen, 10 bulan setelah terapi: tidak tampak kelainan pada pulmonal metastasis</t>
  </si>
  <si>
    <t>ypT2aN0Mx</t>
  </si>
  <si>
    <t>1 bulan setelah terapi: seroma perisutura dinding dada dextra (locoregional), tak tampak kelainan pada mammae sinistra, tidak tampak skeletal metastasis, 2 bulan setelah terapi: tidak tampak pulmonal metastasis, 5 bulan setelah terapi: tak tampak kelainan abdomen, 6 bulan setelah terapi: tak tampak residu/residif mass dinding dada dextra.</t>
  </si>
  <si>
    <t>8 bulan setelah terapi: tak tampak skeletal metastasis, 9 bulan setelah terapi: tak tampak pulmonal metastasis, 10 bulan setelah terapi: tak tampak kelainan pada abdomen.</t>
  </si>
  <si>
    <t>Stadium IIIB eksistensi ke dinding dada , KGB regional tak dapat dinilai, metastasis tak dapat dinilai</t>
  </si>
  <si>
    <t>pT4aNxMx</t>
  </si>
  <si>
    <t>Luminal B HER2  Positive</t>
  </si>
  <si>
    <t>2 bulan setelah terapi: edema cutis dan subcutis regio axillary tail dextra (locoregional, 2 bulan setelah terapi: tak tampak pulmonal metastasis, 3 bulan setelah terapi: metastasis osteoblastic pada proyeksi os costae IV, V, VI, VII dextra os illium dextra.</t>
  </si>
  <si>
    <t>1 bulan setelah terapi: tak tampak kelainan pada abdomen, tak tampak residual/residif mass pada dinding dada dextra, 4 bulan setelah terapi: tak tampak skeletal metastasis, 5 bulan setelah terapi: seroma dinding dada dekstra aspek lateral (locoregional), fibrosis axillary dekstra, 6 bulan setelah terapi: tak tampak pulmonal metastasis</t>
  </si>
  <si>
    <t>8 bulan setelah terapi: tak tampak kelainan pada abdomen, 9 bulan setelah terapi: tak tampak kelainan pada pulmonal metastasis, 10 bulan setelah terapi: tak tampak kelainan pada skeletal</t>
  </si>
  <si>
    <t>Stadium 0, tak ada metastasis KGB, metastasis jauh tak dapat dinilai</t>
  </si>
  <si>
    <t xml:space="preserve">ypT0N0Mx </t>
  </si>
  <si>
    <t>T0</t>
  </si>
  <si>
    <t>4 bulan setelah terapi: tak tampak pulmonal metastasis.</t>
  </si>
  <si>
    <t xml:space="preserve">9 bulan setelah terapi: pneumoc type dan cannon ball pulmonal metastasis pulmo dextra </t>
  </si>
  <si>
    <t xml:space="preserve">Stadium IIIB ulserasi kulit payudara, tak ada metastasis KGB regional, metastasis jauh tak dapat dinilai </t>
  </si>
  <si>
    <t>ypT4bN0Mx</t>
  </si>
  <si>
    <t>Luminal B HER2 Negatif</t>
  </si>
  <si>
    <t>1 bulan setelah terapi: tidak tampak pulmonal metastasis, 3 bulan setelah terapi: tidak tampak kelainan pada abdomen, 5 bulan setelah terapi: tak tampak residual/residif mass pada dinding dada dekstra.</t>
  </si>
  <si>
    <t>7 bulan setelah terapi: tak tampak pulmonal metastasis, 10 bulan setelah terapi: tidak tampak kelainan abdomen, 11 bulan setelah terapi: tak tampak residual/residif mass pada dinding dada dekstra</t>
  </si>
  <si>
    <t xml:space="preserve">Triple Negatif </t>
  </si>
  <si>
    <t>1 bulan setelah terapi: tak tampak residual mass pada dinding dada sinistra, 2 bulan setelah terapi: tak tampak metastasis osteoblastic, 6 bulan setelah terapi: lesi hypoechoic pada retopapil mammae dextra yang meluas (locoregional), tidak tampak pulmonal metastasis.</t>
  </si>
  <si>
    <t>7 bulan setelah terapi: tidak tampak pulmonal metastasis, 9 bulan setelah terapi: tak tampak kelainan pada abdomen, 10 bulan setelah terapi: tak tampak pulmonal metastasis.</t>
  </si>
  <si>
    <t>ypT2N1aMx</t>
  </si>
  <si>
    <t xml:space="preserve">HER2 Enriched </t>
  </si>
  <si>
    <t>8 bulan setelah terapi: tak tampak kelainan/metastasis pada abdomen, 13 bulan setelah terapi: residu residif mass dinding dada line midaxila sinistra, tidak ada kelainan pada mammae dextra, 14 bulan setelah terapi: tak tampak pulmonal metastasis</t>
  </si>
  <si>
    <t>Stadium IIIB eksistensi ke dinding dada, metastasis pada KGB aksila ipsilateral, metastasis jauh tidak bisa dinilai</t>
  </si>
  <si>
    <t xml:space="preserve">ypT4aN2aMx </t>
  </si>
  <si>
    <t xml:space="preserve">Luminal A HER2 Negatif </t>
  </si>
  <si>
    <t xml:space="preserve">2 bulan setelah terapi: adanya metastasis osteoblastic </t>
  </si>
  <si>
    <t xml:space="preserve">DM </t>
  </si>
  <si>
    <t xml:space="preserve">ypT4abN2aMx </t>
  </si>
  <si>
    <t xml:space="preserve">1 bulan setelah terapi: adanya metastasis osteoblastic </t>
  </si>
  <si>
    <t>ypT4abN2aMx</t>
  </si>
  <si>
    <t xml:space="preserve">2 bulan setelah terapi: tak tampak residu/resididf mass pada mammae dextra et sinistra, adanya metastasis osteoblastik </t>
  </si>
  <si>
    <t xml:space="preserve">ypT2N0Mx </t>
  </si>
  <si>
    <t>7 bulan setelah terapi: tidak tampak kelainan abdomen, tidak tampak pulmonal metastasis, tidak tampak skeletal metastasis.</t>
  </si>
  <si>
    <t xml:space="preserve">Hipertensi
Diabetes melitus </t>
  </si>
  <si>
    <t>Stadium IIIB, metastasis pada KGB aksila ipsilateral , metastasis jauh tak dapat dinilai</t>
  </si>
  <si>
    <t xml:space="preserve">ypT4N2aMx </t>
  </si>
  <si>
    <t>Triple Negatif</t>
  </si>
  <si>
    <t>1 bulan setelah terapi: tidak tampak residual/residif mass pada dindng dada sinistra, 3 bulan setelah terapi: suspek nodular type pulmonal metastasis, 4 bulan setelah terapi: multiple nodular type pulmonal metastasis pulmo sinistra</t>
  </si>
  <si>
    <t>Hipertensi
Diabetes melitus</t>
  </si>
  <si>
    <t xml:space="preserve">pT2N2aMx </t>
  </si>
  <si>
    <t>6 bulan setelah terapi: nodular type pulmonal metastase</t>
  </si>
  <si>
    <t>Umur</t>
  </si>
  <si>
    <t>Komplikasi</t>
  </si>
  <si>
    <t>Ulkus kronik</t>
  </si>
  <si>
    <t>Liver</t>
  </si>
  <si>
    <t>Hemiparesis sinistra</t>
  </si>
  <si>
    <t>Hemiplegia</t>
  </si>
  <si>
    <t>Aritmia</t>
  </si>
  <si>
    <t>Dislipidemia</t>
  </si>
  <si>
    <t>Gagal Jantung</t>
  </si>
  <si>
    <t>Kholelitiasis</t>
  </si>
  <si>
    <t>Nyeri Sendi</t>
  </si>
  <si>
    <t>Leg Pain</t>
  </si>
  <si>
    <t>Low Back Pain</t>
  </si>
  <si>
    <t>Hypoalbuminemia</t>
  </si>
  <si>
    <t>Hiponatremia</t>
  </si>
  <si>
    <t>Stadium</t>
  </si>
  <si>
    <t>Stadium Level</t>
  </si>
  <si>
    <t>Keterlibatan Getah Bening</t>
  </si>
  <si>
    <t>Stadium Code</t>
  </si>
  <si>
    <t>Subtipe Tumor</t>
  </si>
  <si>
    <t xml:space="preserve">Kategori Tumor </t>
  </si>
  <si>
    <t>Ukuran Tumor</t>
  </si>
  <si>
    <t>Jenis Kemoterapi</t>
  </si>
  <si>
    <t>Tgl mulai kemoterapi</t>
  </si>
  <si>
    <t>Tanggal selesai kemoterapi</t>
  </si>
  <si>
    <t>Waktu Terapi</t>
  </si>
  <si>
    <t>Siklus radiasi</t>
  </si>
  <si>
    <t>Efektivitas 6 Bulan setelah terapi</t>
  </si>
  <si>
    <t>Efetivitas 1</t>
  </si>
  <si>
    <t>Efektivitas 6 Bulan selanjutnya</t>
  </si>
  <si>
    <t>Efetivitas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</si>
</sst>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1" x14ac:knownFonts="1">
    <font>
      <sz val="11"/>
      <color theme="1"/>
      <name val="Calibri"/>
      <family val="2"/>
      <scheme val="minor"/>
    </font>
    <font>
      <sz val="10"/>
      <color rgb="FF000000"/>
      <name val="Times New Roman"/>
      <family val="1"/>
    </font>
    <font>
      <sz val="10"/>
      <color theme="1"/>
      <name val="Times New Roman"/>
      <family val="1"/>
    </font>
    <font>
      <sz val="10"/>
      <color rgb="FF000000"/>
      <name val="Arial"/>
      <family val="2"/>
    </font>
    <font>
      <sz val="12"/>
      <color rgb="FF000000"/>
      <name val="Times New Roman"/>
      <family val="1"/>
    </font>
    <font>
      <sz val="10"/>
      <color rgb="FF000000"/>
      <name val="Calibri"/>
      <family val="2"/>
      <scheme val="minor"/>
    </font>
    <font>
      <sz val="10"/>
      <color theme="1"/>
      <name val="Calibri"/>
      <family val="2"/>
      <scheme val="minor"/>
    </font>
    <font>
      <sz val="12"/>
      <color theme="1"/>
      <name val="Calibri"/>
      <family val="2"/>
    </font>
    <font>
      <sz val="12"/>
      <color rgb="FF000000"/>
      <name val="Calibri"/>
      <family val="2"/>
    </font>
    <font>
      <b/>
      <sz val="10"/>
      <color theme="1"/>
      <name val="Times New Roman"/>
      <family val="1"/>
    </font>
    <font>
      <b/>
      <sz val="10"/>
      <name val="Arial"/>
      <family val="2"/>
    </font>
  </fonts>
  <fills count="5">
    <fill>
      <patternFill patternType="none"/>
    </fill>
    <fill>
      <patternFill patternType="gray125"/>
    </fill>
    <fill>
      <patternFill patternType="solid">
        <fgColor rgb="FF4A86E8"/>
        <bgColor rgb="FF4A86E8"/>
      </patternFill>
    </fill>
    <fill>
      <patternFill patternType="solid">
        <fgColor rgb="FFFF9900"/>
        <bgColor rgb="FFFF9900"/>
      </patternFill>
    </fill>
    <fill>
      <patternFill patternType="solid">
        <fgColor theme="8" tint="0.399975585192419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7">
    <xf numFmtId="0" fontId="0" fillId="0" borderId="0" xfId="0"/>
    <xf numFmtId="0" fontId="1" fillId="0" borderId="1" xfId="0" applyFont="1" applyBorder="1"/>
    <xf numFmtId="0" fontId="2" fillId="0" borderId="1" xfId="0" applyFont="1" applyBorder="1"/>
    <xf numFmtId="164" fontId="2" fillId="0" borderId="1" xfId="0" applyNumberFormat="1" applyFont="1" applyBorder="1"/>
    <xf numFmtId="0" fontId="2" fillId="0" borderId="1" xfId="0" applyFont="1"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14" fontId="2" fillId="0" borderId="1" xfId="0" applyNumberFormat="1" applyFont="1" applyBorder="1"/>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5" fillId="0" borderId="0" xfId="0" applyFont="1"/>
    <xf numFmtId="14" fontId="4" fillId="0" borderId="0" xfId="0" applyNumberFormat="1" applyFont="1"/>
    <xf numFmtId="0" fontId="4" fillId="0" borderId="0" xfId="0" applyFont="1"/>
    <xf numFmtId="0" fontId="2" fillId="2" borderId="1" xfId="0" applyFont="1" applyFill="1" applyBorder="1"/>
    <xf numFmtId="164" fontId="2" fillId="2" borderId="1" xfId="0" applyNumberFormat="1" applyFont="1" applyFill="1" applyBorder="1"/>
    <xf numFmtId="0" fontId="2" fillId="2" borderId="1" xfId="0" applyFont="1" applyFill="1" applyBorder="1" applyAlignment="1">
      <alignment wrapText="1"/>
    </xf>
    <xf numFmtId="0" fontId="6" fillId="0" borderId="1" xfId="0" applyFont="1" applyBorder="1"/>
    <xf numFmtId="164" fontId="6" fillId="0" borderId="1" xfId="0" applyNumberFormat="1" applyFont="1" applyBorder="1"/>
    <xf numFmtId="0" fontId="6" fillId="0" borderId="1" xfId="0" applyFont="1" applyBorder="1" applyAlignment="1">
      <alignment wrapText="1"/>
    </xf>
    <xf numFmtId="14" fontId="6" fillId="0" borderId="1" xfId="0" applyNumberFormat="1" applyFont="1" applyBorder="1"/>
    <xf numFmtId="0" fontId="7" fillId="0" borderId="0" xfId="0" applyFont="1"/>
    <xf numFmtId="0" fontId="6" fillId="0" borderId="0" xfId="0" applyFont="1" applyAlignment="1">
      <alignment wrapText="1"/>
    </xf>
    <xf numFmtId="0" fontId="6" fillId="0" borderId="0" xfId="0" applyFont="1"/>
    <xf numFmtId="164" fontId="6" fillId="0" borderId="0" xfId="0" applyNumberFormat="1" applyFont="1"/>
    <xf numFmtId="164" fontId="7" fillId="0" borderId="0" xfId="0" applyNumberFormat="1" applyFont="1"/>
    <xf numFmtId="0" fontId="2" fillId="0" borderId="2" xfId="0" applyFont="1" applyBorder="1"/>
    <xf numFmtId="0" fontId="6" fillId="0" borderId="2" xfId="0" applyFont="1" applyBorder="1"/>
    <xf numFmtId="14" fontId="8" fillId="0" borderId="0" xfId="0" applyNumberFormat="1" applyFont="1" applyAlignment="1">
      <alignment vertical="center"/>
    </xf>
    <xf numFmtId="0" fontId="8" fillId="0" borderId="0" xfId="0" applyFont="1" applyAlignment="1">
      <alignment vertical="center"/>
    </xf>
    <xf numFmtId="0" fontId="8" fillId="0" borderId="0" xfId="0" applyFont="1" applyAlignment="1">
      <alignment vertical="center" wrapText="1"/>
    </xf>
    <xf numFmtId="14" fontId="6" fillId="0" borderId="2" xfId="0" applyNumberFormat="1" applyFont="1" applyBorder="1"/>
    <xf numFmtId="0" fontId="9" fillId="3" borderId="2" xfId="0" applyFont="1" applyFill="1" applyBorder="1"/>
    <xf numFmtId="0" fontId="10" fillId="4" borderId="2" xfId="0" applyFont="1" applyFill="1" applyBorder="1"/>
    <xf numFmtId="0" fontId="9" fillId="3" borderId="2" xfId="0" applyFont="1" applyFill="1" applyBorder="1" applyAlignment="1">
      <alignment wrapText="1"/>
    </xf>
    <xf numFmtId="0" fontId="9"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Kerjaan\Research%20Consultant\Project%20P77790325%20(Univariate,%20Bivariate,%20and%20Multivariate%20Test%20in%20SPSS)\Dataset%202.xlsx" TargetMode="External"/><Relationship Id="rId1" Type="http://schemas.openxmlformats.org/officeDocument/2006/relationships/externalLinkPath" Target="Datase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C1" t="str">
            <v>Hipertensi</v>
          </cell>
          <cell r="D1" t="str">
            <v>Ulkus kronik</v>
          </cell>
          <cell r="E1" t="str">
            <v>Anemia</v>
          </cell>
          <cell r="F1" t="str">
            <v>Liver</v>
          </cell>
          <cell r="G1" t="str">
            <v>Hemiparesis sinistra</v>
          </cell>
          <cell r="H1" t="str">
            <v>Hemiplegia</v>
          </cell>
          <cell r="I1" t="str">
            <v>Aritmia</v>
          </cell>
          <cell r="J1" t="str">
            <v>Diabetes Melitus</v>
          </cell>
          <cell r="K1" t="str">
            <v>Dislipidemia</v>
          </cell>
          <cell r="L1" t="str">
            <v>Gagal Jantung</v>
          </cell>
          <cell r="M1" t="str">
            <v>Kholelitiasis</v>
          </cell>
          <cell r="N1" t="str">
            <v>Nyeri Sendi</v>
          </cell>
          <cell r="O1" t="str">
            <v>Leg Pain</v>
          </cell>
          <cell r="P1" t="str">
            <v>Low Back Pain</v>
          </cell>
          <cell r="Q1" t="str">
            <v>Hypoalbuminemia</v>
          </cell>
          <cell r="R1" t="str">
            <v>Hiponatremia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83B4-0417-4195-865C-64714FCF66BD}">
  <dimension ref="A1:AH47"/>
  <sheetViews>
    <sheetView tabSelected="1" workbookViewId="0">
      <selection activeCell="I45" sqref="I3:I45"/>
    </sheetView>
  </sheetViews>
  <sheetFormatPr defaultRowHeight="14.5" x14ac:dyDescent="0.35"/>
  <cols>
    <col min="21" max="21" width="35.36328125" bestFit="1" customWidth="1"/>
  </cols>
  <sheetData>
    <row r="1" spans="1:34" ht="26.5" x14ac:dyDescent="0.35">
      <c r="A1" s="33" t="s">
        <v>190</v>
      </c>
      <c r="B1" s="33" t="s">
        <v>191</v>
      </c>
      <c r="C1" s="33" t="s">
        <v>138</v>
      </c>
      <c r="D1" s="33" t="s">
        <v>192</v>
      </c>
      <c r="E1" s="33" t="s">
        <v>26</v>
      </c>
      <c r="F1" s="33" t="s">
        <v>193</v>
      </c>
      <c r="G1" s="33" t="s">
        <v>194</v>
      </c>
      <c r="H1" s="33" t="s">
        <v>195</v>
      </c>
      <c r="I1" s="33" t="s">
        <v>196</v>
      </c>
      <c r="J1" s="33" t="s">
        <v>8</v>
      </c>
      <c r="K1" s="33" t="s">
        <v>197</v>
      </c>
      <c r="L1" s="33" t="s">
        <v>198</v>
      </c>
      <c r="M1" s="33" t="s">
        <v>199</v>
      </c>
      <c r="N1" s="33" t="s">
        <v>200</v>
      </c>
      <c r="O1" s="33" t="s">
        <v>201</v>
      </c>
      <c r="P1" s="33" t="s">
        <v>202</v>
      </c>
      <c r="Q1" s="33" t="s">
        <v>203</v>
      </c>
      <c r="R1" s="33" t="s">
        <v>204</v>
      </c>
      <c r="S1" s="34" t="s">
        <v>205</v>
      </c>
      <c r="T1" s="34" t="s">
        <v>206</v>
      </c>
      <c r="U1" s="34" t="s">
        <v>207</v>
      </c>
      <c r="V1" s="33" t="s">
        <v>208</v>
      </c>
      <c r="W1" s="35" t="s">
        <v>209</v>
      </c>
      <c r="X1" s="33" t="s">
        <v>210</v>
      </c>
      <c r="Y1" s="33" t="s">
        <v>211</v>
      </c>
      <c r="Z1" s="33" t="s">
        <v>212</v>
      </c>
      <c r="AA1" s="33" t="s">
        <v>213</v>
      </c>
      <c r="AB1" s="33" t="s">
        <v>214</v>
      </c>
      <c r="AC1" s="33" t="s">
        <v>215</v>
      </c>
      <c r="AD1" s="33" t="s">
        <v>216</v>
      </c>
      <c r="AE1" s="36" t="s">
        <v>217</v>
      </c>
      <c r="AF1" s="36" t="s">
        <v>218</v>
      </c>
      <c r="AG1" s="36" t="s">
        <v>219</v>
      </c>
      <c r="AH1" s="36" t="s">
        <v>220</v>
      </c>
    </row>
    <row r="2" spans="1:34" ht="39.5" x14ac:dyDescent="0.35">
      <c r="A2" s="1">
        <v>58</v>
      </c>
      <c r="B2" s="2" t="s">
        <v>0</v>
      </c>
      <c r="C2" s="2" t="str">
        <f>IF(ISNUMBER(SEARCH(LOWER([1]Sheet1!$C$1),LOWER(B2))),"Ya","Tidak")</f>
        <v>Tidak</v>
      </c>
      <c r="D2" s="2" t="str">
        <f>IF(ISNUMBER(SEARCH(LOWER([1]Sheet1!$D$1),LOWER(B2))),"Ya","Tidak")</f>
        <v>Tidak</v>
      </c>
      <c r="E2" s="2" t="str">
        <f>IF(ISNUMBER(SEARCH(LOWER([1]Sheet1!$E$1),LOWER(B2))),"Ya","Tidak")</f>
        <v>Tidak</v>
      </c>
      <c r="F2" s="2" t="str">
        <f>IF(ISNUMBER(SEARCH(LOWER([1]Sheet1!$F$1),LOWER(B2))),"Ya","Tidak")</f>
        <v>Ya</v>
      </c>
      <c r="G2" s="2" t="str">
        <f>IF(ISNUMBER(SEARCH(LOWER([1]Sheet1!$G$1),LOWER(B2))),"Ya","Tidak")</f>
        <v>Tidak</v>
      </c>
      <c r="H2" s="2" t="str">
        <f>IF(ISNUMBER(SEARCH(LOWER([1]Sheet1!$H$1),LOWER(B2))),"Ya","Tidak")</f>
        <v>Tidak</v>
      </c>
      <c r="I2" s="2" t="str">
        <f>IF(ISNUMBER(SEARCH(LOWER([1]Sheet1!$I$1),LOWER(B2))),"Ya","Tidak")</f>
        <v>Tidak</v>
      </c>
      <c r="J2" s="2" t="str">
        <f>IF(OR(ISNUMBER(SEARCH(LOWER([1]Sheet1!$J$1),LOWER(B2))), ISNUMBER(SEARCH("dm",LOWER(B2)))),"Ya","Tidak")</f>
        <v>Tidak</v>
      </c>
      <c r="K2" s="2" t="str">
        <f>IF(ISNUMBER(SEARCH(LOWER([1]Sheet1!$K$1),LOWER(B2))),"Ya","Tidak")</f>
        <v>Tidak</v>
      </c>
      <c r="L2" s="2" t="str">
        <f>IF(ISNUMBER(SEARCH(LOWER([1]Sheet1!$L$1),LOWER(B2))),"Ya","Tidak")</f>
        <v>Tidak</v>
      </c>
      <c r="M2" s="2" t="str">
        <f>IF(ISNUMBER(SEARCH(LOWER([1]Sheet1!$M$1),LOWER(B2))),"Ya","Tidak")</f>
        <v>Tidak</v>
      </c>
      <c r="N2" s="2" t="str">
        <f>IF(ISNUMBER(SEARCH(LOWER([1]Sheet1!$N$1),LOWER(B2))),"Ya","Tidak")</f>
        <v>Tidak</v>
      </c>
      <c r="O2" s="2" t="str">
        <f>IF(ISNUMBER(SEARCH(LOWER([1]Sheet1!$O$1),LOWER(B2))),"Ya","Tidak")</f>
        <v>Tidak</v>
      </c>
      <c r="P2" s="2" t="str">
        <f>IF(ISNUMBER(SEARCH(LOWER([1]Sheet1!$P$1),LOWER(B2))),"Ya","Tidak")</f>
        <v>Tidak</v>
      </c>
      <c r="Q2" s="2" t="str">
        <f>IF(ISNUMBER(SEARCH(LOWER([1]Sheet1!$Q$1),LOWER(B2))),"Ya","Tidak")</f>
        <v>Tidak</v>
      </c>
      <c r="R2" s="2" t="str">
        <f>IF(ISNUMBER(SEARCH(LOWER([1]Sheet1!$R$1),LOWER(B2))),"Ya","Tidak")</f>
        <v>Tidak</v>
      </c>
      <c r="S2" s="3" t="s">
        <v>1</v>
      </c>
      <c r="T2" s="2" t="str">
        <f t="shared" ref="T2:T47" si="0">IF(S2="",0,IF(ISNUMBER(SEARCH("IV",S2)),"IV",IF(OR(ISNUMBER(SEARCH("IIIC",S2)),ISNUMBER(SEARCH("III C",S2))),"IIIC",
IF(OR(ISNUMBER(SEARCH("IIIB",S2)),ISNUMBER(SEARCH("III B",S2))),"IIIB",IF(OR(ISNUMBER(SEARCH("IIIA",S2)),ISNUMBER(SEARCH("III A",S2))),"IIIA",
IF(OR(ISNUMBER(SEARCH("IIB",S2)),ISNUMBER(SEARCH("II B",S2))),"IIB",IF(OR(ISNUMBER(SEARCH("IIA",S2)),ISNUMBER(SEARCH("II A",S2))),"IIA",
IF(OR(ISNUMBER(SEARCH("IB",S2)),ISNUMBER(SEARCH("I B",S2))),"IB",IF(OR(ISNUMBER(SEARCH("IA",S2)),ISNUMBER(SEARCH("I A",S2))),"IA",0)))))))))</f>
        <v>IIIB</v>
      </c>
      <c r="U2" s="2" t="str">
        <f>IF(S2="","Tidak ada metastasis KGB Regional",IF(OR(ISNUMBER(SEARCH(LOWER("tidak ada metastasis KGB"),LOWER(S2))),ISNUMBER(SEARCH(LOWER("tak ada metastasis KGB"),LOWER(S2)))),"Tidak ada metastasis KGB Regional",IF(OR(ISNUMBER(SEARCH(LOWER("KGB Regional tak dapat dinilai"),LOWER(S2))),ISNUMBER(SEARCH(LOWER("KGB Regional tidak dapat dinilai"),LOWER(S2)))),"KGB Regional tak dapat dinilai",IF(ISNUMBER(SEARCH(LOWER("Tak ada metastasis KGB Regional"),LOWER(S2))),"Tak ada metastasis KGB Regional",IF(ISNUMBER(SEARCH(LOWER("KGB aksila ipsilateral"),LOWER(S2))),"Metastasis pada KGB aksila ipsilateral",IF(ISNUMBER(SEARCH(LOWER("1-3 KGB aksila"),LOWER(S2))),"1-3 KGB aksila",IF(ISNUMBER(SEARCH(LOWER("4-9 KGB aksila"),LOWER(S2))),"4-9 KGB aksila",IF(ISNUMBER(SEARCH(LOWER("&gt;10 KGB aksila atau infraklavikula"),LOWER(S2))),"&gt;10 KGB aksila atau infraklavikula",IF(ISNUMBER(SEARCH(LOWER("infraklavikula"),LOWER(S2))),"Metastasis pada KGB infraklavikula ipsilateral",0)))))))))</f>
        <v>Metastasis pada KGB aksila ipsilateral</v>
      </c>
      <c r="V2" s="2" t="s">
        <v>2</v>
      </c>
      <c r="W2" s="4" t="s">
        <v>3</v>
      </c>
      <c r="X2" s="2" t="s">
        <v>4</v>
      </c>
      <c r="Y2" s="2" t="str">
        <f t="shared" ref="Y2:Y47" si="1">IF(X2="T4","&gt;5 cm dengan eksistensi langsung ke dinding dada/kulit",IF(X2="T3","&gt;5cm",IF(X2="T2","&gt;2 cm - &lt;5cm",IF(X2="T1","&lt;2 cm - 2 cm",0))))</f>
        <v>&gt;5 cm dengan eksistensi langsung ke dinding dada/kulit</v>
      </c>
      <c r="Z2" s="2" t="s">
        <v>5</v>
      </c>
      <c r="AA2" s="3">
        <v>45056</v>
      </c>
      <c r="AB2" s="3">
        <v>45620</v>
      </c>
      <c r="AC2" s="2">
        <f t="shared" ref="AC2:AC47" si="2">DATEDIF(AA2, AB2, "d") + 1</f>
        <v>565</v>
      </c>
      <c r="AD2" s="2">
        <v>25</v>
      </c>
      <c r="AE2" s="2" t="s">
        <v>6</v>
      </c>
      <c r="AF2" s="2" t="str">
        <f t="shared" ref="AF2:AF47" si="3">IF(AE2="","Tidak ada",IF(OR(ISNUMBER(SEARCH("tidak",LOWER(AE2))), ISNUMBER(SEARCH("tak",LOWER(AE2)))),"Tidak ada","Ada"))</f>
        <v>Tidak ada</v>
      </c>
      <c r="AG2" s="2" t="s">
        <v>7</v>
      </c>
      <c r="AH2" s="2" t="str">
        <f t="shared" ref="AH2:AH47" si="4">IF(AG2="","Tidak ada",IF(OR(ISNUMBER(SEARCH("tidak",LOWER(AG2))), ISNUMBER(SEARCH("tak",LOWER(AG2)))),"Tidak ada","Ada"))</f>
        <v>Tidak ada</v>
      </c>
    </row>
    <row r="3" spans="1:34" ht="39.5" x14ac:dyDescent="0.35">
      <c r="A3" s="1">
        <v>46</v>
      </c>
      <c r="B3" s="2" t="s">
        <v>8</v>
      </c>
      <c r="C3" s="2" t="str">
        <f>IF(ISNUMBER(SEARCH(LOWER([1]Sheet1!$C$1),LOWER(B3))),"Ya","Tidak")</f>
        <v>Tidak</v>
      </c>
      <c r="D3" s="2" t="str">
        <f>IF(ISNUMBER(SEARCH(LOWER([1]Sheet1!$D$1),LOWER(B3))),"Ya","Tidak")</f>
        <v>Tidak</v>
      </c>
      <c r="E3" s="2" t="str">
        <f>IF(ISNUMBER(SEARCH(LOWER([1]Sheet1!$E$1),LOWER(B3))),"Ya","Tidak")</f>
        <v>Tidak</v>
      </c>
      <c r="F3" s="2" t="str">
        <f>IF(ISNUMBER(SEARCH(LOWER([1]Sheet1!$F$1),LOWER(B3))),"Ya","Tidak")</f>
        <v>Tidak</v>
      </c>
      <c r="G3" s="2" t="str">
        <f>IF(ISNUMBER(SEARCH(LOWER([1]Sheet1!$G$1),LOWER(B3))),"Ya","Tidak")</f>
        <v>Tidak</v>
      </c>
      <c r="H3" s="2" t="str">
        <f>IF(ISNUMBER(SEARCH(LOWER([1]Sheet1!$H$1),LOWER(B3))),"Ya","Tidak")</f>
        <v>Tidak</v>
      </c>
      <c r="I3" s="2" t="str">
        <f>IF(ISNUMBER(SEARCH(LOWER([1]Sheet1!$I$1),LOWER(B3))),"Ya","Tidak")</f>
        <v>Tidak</v>
      </c>
      <c r="J3" s="2" t="str">
        <f>IF(OR(ISNUMBER(SEARCH(LOWER([1]Sheet1!$J$1),LOWER(B3))), ISNUMBER(SEARCH("dm",LOWER(B3)))),"Ya","Tidak")</f>
        <v>Ya</v>
      </c>
      <c r="K3" s="2" t="str">
        <f>IF(ISNUMBER(SEARCH(LOWER([1]Sheet1!$K$1),LOWER(B3))),"Ya","Tidak")</f>
        <v>Tidak</v>
      </c>
      <c r="L3" s="2" t="str">
        <f>IF(ISNUMBER(SEARCH(LOWER([1]Sheet1!$L$1),LOWER(B3))),"Ya","Tidak")</f>
        <v>Tidak</v>
      </c>
      <c r="M3" s="2" t="str">
        <f>IF(ISNUMBER(SEARCH(LOWER([1]Sheet1!$M$1),LOWER(B3))),"Ya","Tidak")</f>
        <v>Tidak</v>
      </c>
      <c r="N3" s="2" t="str">
        <f>IF(ISNUMBER(SEARCH(LOWER([1]Sheet1!$N$1),LOWER(B3))),"Ya","Tidak")</f>
        <v>Tidak</v>
      </c>
      <c r="O3" s="2" t="str">
        <f>IF(ISNUMBER(SEARCH(LOWER([1]Sheet1!$O$1),LOWER(B3))),"Ya","Tidak")</f>
        <v>Tidak</v>
      </c>
      <c r="P3" s="2" t="str">
        <f>IF(ISNUMBER(SEARCH(LOWER([1]Sheet1!$P$1),LOWER(B3))),"Ya","Tidak")</f>
        <v>Tidak</v>
      </c>
      <c r="Q3" s="2" t="str">
        <f>IF(ISNUMBER(SEARCH(LOWER([1]Sheet1!$Q$1),LOWER(B3))),"Ya","Tidak")</f>
        <v>Tidak</v>
      </c>
      <c r="R3" s="2" t="str">
        <f>IF(ISNUMBER(SEARCH(LOWER([1]Sheet1!$R$1),LOWER(B3))),"Ya","Tidak")</f>
        <v>Tidak</v>
      </c>
      <c r="S3" s="3" t="s">
        <v>9</v>
      </c>
      <c r="T3" s="2" t="str">
        <f t="shared" si="0"/>
        <v>IIIA</v>
      </c>
      <c r="U3" s="2" t="str">
        <f t="shared" ref="U3:U47" si="5">IF(S3="","Tidak ada metastasis KGB Regional",IF(OR(ISNUMBER(SEARCH(LOWER("tidak ada metastasis KGB"),LOWER(S3))),ISNUMBER(SEARCH(LOWER("tak ada metastasis KGB"),LOWER(S3)))),"Tidak ada metastasis KGB Regional",IF(OR(ISNUMBER(SEARCH(LOWER("KGB Regional tak dapat dinilai"),LOWER(S3))),ISNUMBER(SEARCH(LOWER("KGB Regional tidak dapat dinilai"),LOWER(S3)))),"KGB Regional tak dapat dinilai",IF(ISNUMBER(SEARCH(LOWER("Tak ada metastasis KGB Regional"),LOWER(S3))),"Tak ada metastasis KGB Regional",IF(ISNUMBER(SEARCH(LOWER("KGB aksila ipsilateral"),LOWER(S3))),"Metastasis pada KGB aksila ipsilateral",IF(ISNUMBER(SEARCH(LOWER("1-3 KGB aksila"),LOWER(S3))),"1-3 KGB aksila",IF(ISNUMBER(SEARCH(LOWER("4-9 KGB aksila"),LOWER(S3))),"4-9 KGB aksila",IF(ISNUMBER(SEARCH(LOWER("&gt;10 KGB aksila atau infraklavikula"),LOWER(S3))),"&gt;10 KGB aksila atau infraklavikula",IF(ISNUMBER(SEARCH(LOWER("infraklavikula"),LOWER(S3))),"Metastasis pada KGB infraklavikula ipsilateral",0)))))))))</f>
        <v>Metastasis pada KGB aksila ipsilateral</v>
      </c>
      <c r="V3" s="2" t="s">
        <v>10</v>
      </c>
      <c r="W3" s="4" t="s">
        <v>11</v>
      </c>
      <c r="X3" s="2" t="s">
        <v>12</v>
      </c>
      <c r="Y3" s="2" t="str">
        <f t="shared" si="1"/>
        <v>&gt;5cm</v>
      </c>
      <c r="Z3" s="2" t="s">
        <v>5</v>
      </c>
      <c r="AA3" s="3">
        <v>44721</v>
      </c>
      <c r="AB3" s="3">
        <v>44893</v>
      </c>
      <c r="AC3" s="2">
        <f t="shared" si="2"/>
        <v>173</v>
      </c>
      <c r="AD3" s="2">
        <v>25</v>
      </c>
      <c r="AE3" s="2" t="s">
        <v>13</v>
      </c>
      <c r="AF3" s="2" t="str">
        <f t="shared" si="3"/>
        <v>Ada</v>
      </c>
      <c r="AG3" s="2"/>
      <c r="AH3" s="2" t="str">
        <f t="shared" si="4"/>
        <v>Tidak ada</v>
      </c>
    </row>
    <row r="4" spans="1:34" ht="39.5" x14ac:dyDescent="0.35">
      <c r="A4" s="2">
        <v>55</v>
      </c>
      <c r="B4" s="2"/>
      <c r="C4" s="2" t="str">
        <f>IF(ISNUMBER(SEARCH(LOWER([1]Sheet1!$C$1),LOWER(B4))),"Ya","Tidak")</f>
        <v>Tidak</v>
      </c>
      <c r="D4" s="2" t="str">
        <f>IF(ISNUMBER(SEARCH(LOWER([1]Sheet1!$D$1),LOWER(B4))),"Ya","Tidak")</f>
        <v>Tidak</v>
      </c>
      <c r="E4" s="2" t="str">
        <f>IF(ISNUMBER(SEARCH(LOWER([1]Sheet1!$E$1),LOWER(B4))),"Ya","Tidak")</f>
        <v>Tidak</v>
      </c>
      <c r="F4" s="2" t="str">
        <f>IF(ISNUMBER(SEARCH(LOWER([1]Sheet1!$F$1),LOWER(B4))),"Ya","Tidak")</f>
        <v>Tidak</v>
      </c>
      <c r="G4" s="2" t="str">
        <f>IF(ISNUMBER(SEARCH(LOWER([1]Sheet1!$G$1),LOWER(B4))),"Ya","Tidak")</f>
        <v>Tidak</v>
      </c>
      <c r="H4" s="2" t="str">
        <f>IF(ISNUMBER(SEARCH(LOWER([1]Sheet1!$H$1),LOWER(B4))),"Ya","Tidak")</f>
        <v>Tidak</v>
      </c>
      <c r="I4" s="2" t="str">
        <f>IF(ISNUMBER(SEARCH(LOWER([1]Sheet1!$I$1),LOWER(B4))),"Ya","Tidak")</f>
        <v>Tidak</v>
      </c>
      <c r="J4" s="2" t="str">
        <f>IF(OR(ISNUMBER(SEARCH(LOWER([1]Sheet1!$J$1),LOWER(B4))), ISNUMBER(SEARCH("dm",LOWER(B4)))),"Ya","Tidak")</f>
        <v>Tidak</v>
      </c>
      <c r="K4" s="2" t="str">
        <f>IF(ISNUMBER(SEARCH(LOWER([1]Sheet1!$K$1),LOWER(B4))),"Ya","Tidak")</f>
        <v>Tidak</v>
      </c>
      <c r="L4" s="2" t="str">
        <f>IF(ISNUMBER(SEARCH(LOWER([1]Sheet1!$L$1),LOWER(B4))),"Ya","Tidak")</f>
        <v>Tidak</v>
      </c>
      <c r="M4" s="2" t="str">
        <f>IF(ISNUMBER(SEARCH(LOWER([1]Sheet1!$M$1),LOWER(B4))),"Ya","Tidak")</f>
        <v>Tidak</v>
      </c>
      <c r="N4" s="2" t="str">
        <f>IF(ISNUMBER(SEARCH(LOWER([1]Sheet1!$N$1),LOWER(B4))),"Ya","Tidak")</f>
        <v>Tidak</v>
      </c>
      <c r="O4" s="2" t="str">
        <f>IF(ISNUMBER(SEARCH(LOWER([1]Sheet1!$O$1),LOWER(B4))),"Ya","Tidak")</f>
        <v>Tidak</v>
      </c>
      <c r="P4" s="2" t="str">
        <f>IF(ISNUMBER(SEARCH(LOWER([1]Sheet1!$P$1),LOWER(B4))),"Ya","Tidak")</f>
        <v>Tidak</v>
      </c>
      <c r="Q4" s="2" t="str">
        <f>IF(ISNUMBER(SEARCH(LOWER([1]Sheet1!$Q$1),LOWER(B4))),"Ya","Tidak")</f>
        <v>Tidak</v>
      </c>
      <c r="R4" s="2" t="str">
        <f>IF(ISNUMBER(SEARCH(LOWER([1]Sheet1!$R$1),LOWER(B4))),"Ya","Tidak")</f>
        <v>Tidak</v>
      </c>
      <c r="S4" s="3" t="s">
        <v>14</v>
      </c>
      <c r="T4" s="2" t="str">
        <f t="shared" si="0"/>
        <v>IIA</v>
      </c>
      <c r="U4" s="2" t="str">
        <f t="shared" si="5"/>
        <v>Tidak ada metastasis KGB Regional</v>
      </c>
      <c r="V4" s="2" t="s">
        <v>15</v>
      </c>
      <c r="W4" s="4" t="s">
        <v>16</v>
      </c>
      <c r="X4" s="2" t="s">
        <v>17</v>
      </c>
      <c r="Y4" s="2" t="str">
        <f t="shared" si="1"/>
        <v>&gt;2 cm - &lt;5cm</v>
      </c>
      <c r="Z4" s="2" t="s">
        <v>5</v>
      </c>
      <c r="AA4" s="3">
        <v>45049</v>
      </c>
      <c r="AB4" s="3">
        <v>45156</v>
      </c>
      <c r="AC4" s="2">
        <f t="shared" si="2"/>
        <v>108</v>
      </c>
      <c r="AD4" s="2">
        <v>25</v>
      </c>
      <c r="AE4" s="2" t="s">
        <v>18</v>
      </c>
      <c r="AF4" s="2" t="str">
        <f t="shared" si="3"/>
        <v>Tidak ada</v>
      </c>
      <c r="AG4" s="2" t="s">
        <v>19</v>
      </c>
      <c r="AH4" s="2" t="str">
        <f t="shared" si="4"/>
        <v>Tidak ada</v>
      </c>
    </row>
    <row r="5" spans="1:34" ht="39.5" x14ac:dyDescent="0.35">
      <c r="A5" s="2">
        <v>66</v>
      </c>
      <c r="B5" s="2" t="s">
        <v>20</v>
      </c>
      <c r="C5" s="2" t="str">
        <f>IF(ISNUMBER(SEARCH(LOWER([1]Sheet1!$C$1),LOWER(B5))),"Ya","Tidak")</f>
        <v>Ya</v>
      </c>
      <c r="D5" s="2" t="str">
        <f>IF(ISNUMBER(SEARCH(LOWER([1]Sheet1!$D$1),LOWER(B5))),"Ya","Tidak")</f>
        <v>Tidak</v>
      </c>
      <c r="E5" s="2" t="str">
        <f>IF(ISNUMBER(SEARCH(LOWER([1]Sheet1!$E$1),LOWER(B5))),"Ya","Tidak")</f>
        <v>Ya</v>
      </c>
      <c r="F5" s="2" t="str">
        <f>IF(ISNUMBER(SEARCH(LOWER([1]Sheet1!$F$1),LOWER(B5))),"Ya","Tidak")</f>
        <v>Tidak</v>
      </c>
      <c r="G5" s="2" t="str">
        <f>IF(ISNUMBER(SEARCH(LOWER([1]Sheet1!$G$1),LOWER(B5))),"Ya","Tidak")</f>
        <v>Tidak</v>
      </c>
      <c r="H5" s="2" t="str">
        <f>IF(ISNUMBER(SEARCH(LOWER([1]Sheet1!$H$1),LOWER(B5))),"Ya","Tidak")</f>
        <v>Tidak</v>
      </c>
      <c r="I5" s="2" t="str">
        <f>IF(ISNUMBER(SEARCH(LOWER([1]Sheet1!$I$1),LOWER(B5))),"Ya","Tidak")</f>
        <v>Tidak</v>
      </c>
      <c r="J5" s="2" t="str">
        <f>IF(OR(ISNUMBER(SEARCH(LOWER([1]Sheet1!$J$1),LOWER(B5))), ISNUMBER(SEARCH("dm",LOWER(B5)))),"Ya","Tidak")</f>
        <v>Tidak</v>
      </c>
      <c r="K5" s="2" t="str">
        <f>IF(ISNUMBER(SEARCH(LOWER([1]Sheet1!$K$1),LOWER(B5))),"Ya","Tidak")</f>
        <v>Tidak</v>
      </c>
      <c r="L5" s="2" t="str">
        <f>IF(ISNUMBER(SEARCH(LOWER([1]Sheet1!$L$1),LOWER(B5))),"Ya","Tidak")</f>
        <v>Tidak</v>
      </c>
      <c r="M5" s="2" t="str">
        <f>IF(ISNUMBER(SEARCH(LOWER([1]Sheet1!$M$1),LOWER(B5))),"Ya","Tidak")</f>
        <v>Tidak</v>
      </c>
      <c r="N5" s="2" t="str">
        <f>IF(ISNUMBER(SEARCH(LOWER([1]Sheet1!$N$1),LOWER(B5))),"Ya","Tidak")</f>
        <v>Tidak</v>
      </c>
      <c r="O5" s="2" t="str">
        <f>IF(ISNUMBER(SEARCH(LOWER([1]Sheet1!$O$1),LOWER(B5))),"Ya","Tidak")</f>
        <v>Tidak</v>
      </c>
      <c r="P5" s="2" t="str">
        <f>IF(ISNUMBER(SEARCH(LOWER([1]Sheet1!$P$1),LOWER(B5))),"Ya","Tidak")</f>
        <v>Tidak</v>
      </c>
      <c r="Q5" s="2" t="str">
        <f>IF(ISNUMBER(SEARCH(LOWER([1]Sheet1!$Q$1),LOWER(B5))),"Ya","Tidak")</f>
        <v>Tidak</v>
      </c>
      <c r="R5" s="2" t="str">
        <f>IF(ISNUMBER(SEARCH(LOWER([1]Sheet1!$R$1),LOWER(B5))),"Ya","Tidak")</f>
        <v>Tidak</v>
      </c>
      <c r="S5" s="3" t="s">
        <v>21</v>
      </c>
      <c r="T5" s="2" t="str">
        <f t="shared" si="0"/>
        <v>IIIB</v>
      </c>
      <c r="U5" s="2" t="str">
        <f t="shared" si="5"/>
        <v>Metastasis pada KGB aksila ipsilateral</v>
      </c>
      <c r="V5" s="2" t="s">
        <v>22</v>
      </c>
      <c r="W5" s="4" t="s">
        <v>23</v>
      </c>
      <c r="X5" s="2" t="s">
        <v>4</v>
      </c>
      <c r="Y5" s="2" t="str">
        <f t="shared" si="1"/>
        <v>&gt;5 cm dengan eksistensi langsung ke dinding dada/kulit</v>
      </c>
      <c r="Z5" s="2" t="s">
        <v>24</v>
      </c>
      <c r="AA5" s="3">
        <v>44799</v>
      </c>
      <c r="AB5" s="3">
        <v>44909</v>
      </c>
      <c r="AC5" s="2">
        <f t="shared" si="2"/>
        <v>111</v>
      </c>
      <c r="AD5" s="2">
        <v>25</v>
      </c>
      <c r="AE5" s="2" t="s">
        <v>25</v>
      </c>
      <c r="AF5" s="2" t="str">
        <f t="shared" si="3"/>
        <v>Tidak ada</v>
      </c>
      <c r="AG5" s="2"/>
      <c r="AH5" s="2" t="str">
        <f t="shared" si="4"/>
        <v>Tidak ada</v>
      </c>
    </row>
    <row r="6" spans="1:34" ht="39" x14ac:dyDescent="0.35">
      <c r="A6" s="1">
        <v>45</v>
      </c>
      <c r="B6" s="2" t="s">
        <v>26</v>
      </c>
      <c r="C6" s="2" t="str">
        <f>IF(ISNUMBER(SEARCH(LOWER([1]Sheet1!$C$1),LOWER(B6))),"Ya","Tidak")</f>
        <v>Tidak</v>
      </c>
      <c r="D6" s="2" t="str">
        <f>IF(ISNUMBER(SEARCH(LOWER([1]Sheet1!$D$1),LOWER(B6))),"Ya","Tidak")</f>
        <v>Tidak</v>
      </c>
      <c r="E6" s="2" t="str">
        <f>IF(ISNUMBER(SEARCH(LOWER([1]Sheet1!$E$1),LOWER(B6))),"Ya","Tidak")</f>
        <v>Ya</v>
      </c>
      <c r="F6" s="2" t="str">
        <f>IF(ISNUMBER(SEARCH(LOWER([1]Sheet1!$F$1),LOWER(B6))),"Ya","Tidak")</f>
        <v>Tidak</v>
      </c>
      <c r="G6" s="2" t="str">
        <f>IF(ISNUMBER(SEARCH(LOWER([1]Sheet1!$G$1),LOWER(B6))),"Ya","Tidak")</f>
        <v>Tidak</v>
      </c>
      <c r="H6" s="2" t="str">
        <f>IF(ISNUMBER(SEARCH(LOWER([1]Sheet1!$H$1),LOWER(B6))),"Ya","Tidak")</f>
        <v>Tidak</v>
      </c>
      <c r="I6" s="2" t="str">
        <f>IF(ISNUMBER(SEARCH(LOWER([1]Sheet1!$I$1),LOWER(B6))),"Ya","Tidak")</f>
        <v>Tidak</v>
      </c>
      <c r="J6" s="2" t="str">
        <f>IF(OR(ISNUMBER(SEARCH(LOWER([1]Sheet1!$J$1),LOWER(B6))), ISNUMBER(SEARCH("dm",LOWER(B6)))),"Ya","Tidak")</f>
        <v>Tidak</v>
      </c>
      <c r="K6" s="2" t="str">
        <f>IF(ISNUMBER(SEARCH(LOWER([1]Sheet1!$K$1),LOWER(B6))),"Ya","Tidak")</f>
        <v>Tidak</v>
      </c>
      <c r="L6" s="2" t="str">
        <f>IF(ISNUMBER(SEARCH(LOWER([1]Sheet1!$L$1),LOWER(B6))),"Ya","Tidak")</f>
        <v>Tidak</v>
      </c>
      <c r="M6" s="2" t="str">
        <f>IF(ISNUMBER(SEARCH(LOWER([1]Sheet1!$M$1),LOWER(B6))),"Ya","Tidak")</f>
        <v>Tidak</v>
      </c>
      <c r="N6" s="2" t="str">
        <f>IF(ISNUMBER(SEARCH(LOWER([1]Sheet1!$N$1),LOWER(B6))),"Ya","Tidak")</f>
        <v>Tidak</v>
      </c>
      <c r="O6" s="2" t="str">
        <f>IF(ISNUMBER(SEARCH(LOWER([1]Sheet1!$O$1),LOWER(B6))),"Ya","Tidak")</f>
        <v>Tidak</v>
      </c>
      <c r="P6" s="2" t="str">
        <f>IF(ISNUMBER(SEARCH(LOWER([1]Sheet1!$P$1),LOWER(B6))),"Ya","Tidak")</f>
        <v>Tidak</v>
      </c>
      <c r="Q6" s="2" t="str">
        <f>IF(ISNUMBER(SEARCH(LOWER([1]Sheet1!$Q$1),LOWER(B6))),"Ya","Tidak")</f>
        <v>Tidak</v>
      </c>
      <c r="R6" s="2" t="str">
        <f>IF(ISNUMBER(SEARCH(LOWER([1]Sheet1!$R$1),LOWER(B6))),"Ya","Tidak")</f>
        <v>Tidak</v>
      </c>
      <c r="S6" s="3" t="s">
        <v>14</v>
      </c>
      <c r="T6" s="2" t="str">
        <f t="shared" si="0"/>
        <v>IIA</v>
      </c>
      <c r="U6" s="2" t="str">
        <f t="shared" si="5"/>
        <v>Tidak ada metastasis KGB Regional</v>
      </c>
      <c r="V6" s="2" t="s">
        <v>27</v>
      </c>
      <c r="W6" s="5" t="s">
        <v>28</v>
      </c>
      <c r="X6" s="6" t="s">
        <v>17</v>
      </c>
      <c r="Y6" s="2" t="str">
        <f t="shared" si="1"/>
        <v>&gt;2 cm - &lt;5cm</v>
      </c>
      <c r="Z6" s="2" t="s">
        <v>5</v>
      </c>
      <c r="AA6" s="3">
        <v>44867</v>
      </c>
      <c r="AB6" s="3">
        <v>44936</v>
      </c>
      <c r="AC6" s="2">
        <f t="shared" si="2"/>
        <v>70</v>
      </c>
      <c r="AD6" s="2">
        <v>30</v>
      </c>
      <c r="AE6" s="2" t="s">
        <v>29</v>
      </c>
      <c r="AF6" s="2" t="str">
        <f t="shared" si="3"/>
        <v>Tidak ada</v>
      </c>
      <c r="AG6" s="2" t="s">
        <v>30</v>
      </c>
      <c r="AH6" s="2" t="str">
        <f t="shared" si="4"/>
        <v>Tidak ada</v>
      </c>
    </row>
    <row r="7" spans="1:34" ht="26" x14ac:dyDescent="0.35">
      <c r="A7" s="1">
        <v>53</v>
      </c>
      <c r="B7" s="2"/>
      <c r="C7" s="2" t="str">
        <f>IF(ISNUMBER(SEARCH(LOWER([1]Sheet1!$C$1),LOWER(B7))),"Ya","Tidak")</f>
        <v>Tidak</v>
      </c>
      <c r="D7" s="2" t="str">
        <f>IF(ISNUMBER(SEARCH(LOWER([1]Sheet1!$D$1),LOWER(B7))),"Ya","Tidak")</f>
        <v>Tidak</v>
      </c>
      <c r="E7" s="2" t="str">
        <f>IF(ISNUMBER(SEARCH(LOWER([1]Sheet1!$E$1),LOWER(B7))),"Ya","Tidak")</f>
        <v>Tidak</v>
      </c>
      <c r="F7" s="2" t="str">
        <f>IF(ISNUMBER(SEARCH(LOWER([1]Sheet1!$F$1),LOWER(B7))),"Ya","Tidak")</f>
        <v>Tidak</v>
      </c>
      <c r="G7" s="2" t="str">
        <f>IF(ISNUMBER(SEARCH(LOWER([1]Sheet1!$G$1),LOWER(B7))),"Ya","Tidak")</f>
        <v>Tidak</v>
      </c>
      <c r="H7" s="2" t="str">
        <f>IF(ISNUMBER(SEARCH(LOWER([1]Sheet1!$H$1),LOWER(B7))),"Ya","Tidak")</f>
        <v>Tidak</v>
      </c>
      <c r="I7" s="2" t="str">
        <f>IF(ISNUMBER(SEARCH(LOWER([1]Sheet1!$I$1),LOWER(B7))),"Ya","Tidak")</f>
        <v>Tidak</v>
      </c>
      <c r="J7" s="2" t="str">
        <f>IF(OR(ISNUMBER(SEARCH(LOWER([1]Sheet1!$J$1),LOWER(B7))), ISNUMBER(SEARCH("dm",LOWER(B7)))),"Ya","Tidak")</f>
        <v>Tidak</v>
      </c>
      <c r="K7" s="2" t="str">
        <f>IF(ISNUMBER(SEARCH(LOWER([1]Sheet1!$K$1),LOWER(B7))),"Ya","Tidak")</f>
        <v>Tidak</v>
      </c>
      <c r="L7" s="2" t="str">
        <f>IF(ISNUMBER(SEARCH(LOWER([1]Sheet1!$L$1),LOWER(B7))),"Ya","Tidak")</f>
        <v>Tidak</v>
      </c>
      <c r="M7" s="2" t="str">
        <f>IF(ISNUMBER(SEARCH(LOWER([1]Sheet1!$M$1),LOWER(B7))),"Ya","Tidak")</f>
        <v>Tidak</v>
      </c>
      <c r="N7" s="2" t="str">
        <f>IF(ISNUMBER(SEARCH(LOWER([1]Sheet1!$N$1),LOWER(B7))),"Ya","Tidak")</f>
        <v>Tidak</v>
      </c>
      <c r="O7" s="2" t="str">
        <f>IF(ISNUMBER(SEARCH(LOWER([1]Sheet1!$O$1),LOWER(B7))),"Ya","Tidak")</f>
        <v>Tidak</v>
      </c>
      <c r="P7" s="2" t="str">
        <f>IF(ISNUMBER(SEARCH(LOWER([1]Sheet1!$P$1),LOWER(B7))),"Ya","Tidak")</f>
        <v>Tidak</v>
      </c>
      <c r="Q7" s="2" t="str">
        <f>IF(ISNUMBER(SEARCH(LOWER([1]Sheet1!$Q$1),LOWER(B7))),"Ya","Tidak")</f>
        <v>Tidak</v>
      </c>
      <c r="R7" s="2" t="str">
        <f>IF(ISNUMBER(SEARCH(LOWER([1]Sheet1!$R$1),LOWER(B7))),"Ya","Tidak")</f>
        <v>Tidak</v>
      </c>
      <c r="S7" s="7" t="s">
        <v>31</v>
      </c>
      <c r="T7" s="2" t="str">
        <f t="shared" si="0"/>
        <v>IIIA</v>
      </c>
      <c r="U7" s="2" t="str">
        <f t="shared" si="5"/>
        <v>Metastasis pada KGB aksila ipsilateral</v>
      </c>
      <c r="V7" s="2" t="s">
        <v>32</v>
      </c>
      <c r="W7" s="5" t="s">
        <v>33</v>
      </c>
      <c r="X7" s="6" t="s">
        <v>12</v>
      </c>
      <c r="Y7" s="2" t="str">
        <f t="shared" si="1"/>
        <v>&gt;5cm</v>
      </c>
      <c r="Z7" s="2" t="s">
        <v>5</v>
      </c>
      <c r="AA7" s="3">
        <v>44648</v>
      </c>
      <c r="AB7" s="3">
        <v>44754</v>
      </c>
      <c r="AC7" s="2">
        <f t="shared" si="2"/>
        <v>107</v>
      </c>
      <c r="AD7" s="2">
        <v>30</v>
      </c>
      <c r="AE7" s="2" t="s">
        <v>34</v>
      </c>
      <c r="AF7" s="2" t="str">
        <f t="shared" si="3"/>
        <v>Tidak ada</v>
      </c>
      <c r="AG7" s="2" t="s">
        <v>35</v>
      </c>
      <c r="AH7" s="2" t="str">
        <f t="shared" si="4"/>
        <v>Tidak ada</v>
      </c>
    </row>
    <row r="8" spans="1:34" ht="39.5" x14ac:dyDescent="0.35">
      <c r="A8" s="1">
        <v>44</v>
      </c>
      <c r="B8" s="2"/>
      <c r="C8" s="2" t="str">
        <f>IF(ISNUMBER(SEARCH(LOWER([1]Sheet1!$C$1),LOWER(B8))),"Ya","Tidak")</f>
        <v>Tidak</v>
      </c>
      <c r="D8" s="2" t="str">
        <f>IF(ISNUMBER(SEARCH(LOWER([1]Sheet1!$D$1),LOWER(B8))),"Ya","Tidak")</f>
        <v>Tidak</v>
      </c>
      <c r="E8" s="2" t="str">
        <f>IF(ISNUMBER(SEARCH(LOWER([1]Sheet1!$E$1),LOWER(B8))),"Ya","Tidak")</f>
        <v>Tidak</v>
      </c>
      <c r="F8" s="2" t="str">
        <f>IF(ISNUMBER(SEARCH(LOWER([1]Sheet1!$F$1),LOWER(B8))),"Ya","Tidak")</f>
        <v>Tidak</v>
      </c>
      <c r="G8" s="2" t="str">
        <f>IF(ISNUMBER(SEARCH(LOWER([1]Sheet1!$G$1),LOWER(B8))),"Ya","Tidak")</f>
        <v>Tidak</v>
      </c>
      <c r="H8" s="2" t="str">
        <f>IF(ISNUMBER(SEARCH(LOWER([1]Sheet1!$H$1),LOWER(B8))),"Ya","Tidak")</f>
        <v>Tidak</v>
      </c>
      <c r="I8" s="2" t="str">
        <f>IF(ISNUMBER(SEARCH(LOWER([1]Sheet1!$I$1),LOWER(B8))),"Ya","Tidak")</f>
        <v>Tidak</v>
      </c>
      <c r="J8" s="2" t="str">
        <f>IF(OR(ISNUMBER(SEARCH(LOWER([1]Sheet1!$J$1),LOWER(B8))), ISNUMBER(SEARCH("dm",LOWER(B8)))),"Ya","Tidak")</f>
        <v>Tidak</v>
      </c>
      <c r="K8" s="2" t="str">
        <f>IF(ISNUMBER(SEARCH(LOWER([1]Sheet1!$K$1),LOWER(B8))),"Ya","Tidak")</f>
        <v>Tidak</v>
      </c>
      <c r="L8" s="2" t="str">
        <f>IF(ISNUMBER(SEARCH(LOWER([1]Sheet1!$L$1),LOWER(B8))),"Ya","Tidak")</f>
        <v>Tidak</v>
      </c>
      <c r="M8" s="2" t="str">
        <f>IF(ISNUMBER(SEARCH(LOWER([1]Sheet1!$M$1),LOWER(B8))),"Ya","Tidak")</f>
        <v>Tidak</v>
      </c>
      <c r="N8" s="2" t="str">
        <f>IF(ISNUMBER(SEARCH(LOWER([1]Sheet1!$N$1),LOWER(B8))),"Ya","Tidak")</f>
        <v>Tidak</v>
      </c>
      <c r="O8" s="2" t="str">
        <f>IF(ISNUMBER(SEARCH(LOWER([1]Sheet1!$O$1),LOWER(B8))),"Ya","Tidak")</f>
        <v>Tidak</v>
      </c>
      <c r="P8" s="2" t="str">
        <f>IF(ISNUMBER(SEARCH(LOWER([1]Sheet1!$P$1),LOWER(B8))),"Ya","Tidak")</f>
        <v>Tidak</v>
      </c>
      <c r="Q8" s="2" t="str">
        <f>IF(ISNUMBER(SEARCH(LOWER([1]Sheet1!$Q$1),LOWER(B8))),"Ya","Tidak")</f>
        <v>Tidak</v>
      </c>
      <c r="R8" s="2" t="str">
        <f>IF(ISNUMBER(SEARCH(LOWER([1]Sheet1!$R$1),LOWER(B8))),"Ya","Tidak")</f>
        <v>Tidak</v>
      </c>
      <c r="S8" s="3" t="s">
        <v>36</v>
      </c>
      <c r="T8" s="2" t="str">
        <f t="shared" si="0"/>
        <v>IIA</v>
      </c>
      <c r="U8" s="2" t="str">
        <f t="shared" si="5"/>
        <v>Tidak ada metastasis KGB Regional</v>
      </c>
      <c r="V8" s="2" t="s">
        <v>37</v>
      </c>
      <c r="W8" s="4" t="s">
        <v>3</v>
      </c>
      <c r="X8" s="2" t="s">
        <v>17</v>
      </c>
      <c r="Y8" s="2" t="str">
        <f t="shared" si="1"/>
        <v>&gt;2 cm - &lt;5cm</v>
      </c>
      <c r="Z8" s="2" t="s">
        <v>5</v>
      </c>
      <c r="AA8" s="3">
        <v>44622</v>
      </c>
      <c r="AB8" s="3">
        <v>44729</v>
      </c>
      <c r="AC8" s="2">
        <f t="shared" si="2"/>
        <v>108</v>
      </c>
      <c r="AD8" s="2">
        <v>25</v>
      </c>
      <c r="AE8" s="2" t="s">
        <v>38</v>
      </c>
      <c r="AF8" s="2" t="str">
        <f t="shared" si="3"/>
        <v>Tidak ada</v>
      </c>
      <c r="AG8" s="2" t="s">
        <v>39</v>
      </c>
      <c r="AH8" s="2" t="str">
        <f t="shared" si="4"/>
        <v>Tidak ada</v>
      </c>
    </row>
    <row r="9" spans="1:34" ht="26.5" x14ac:dyDescent="0.35">
      <c r="A9" s="2">
        <v>51</v>
      </c>
      <c r="B9" s="2"/>
      <c r="C9" s="2" t="str">
        <f>IF(ISNUMBER(SEARCH(LOWER([1]Sheet1!$C$1),LOWER(B9))),"Ya","Tidak")</f>
        <v>Tidak</v>
      </c>
      <c r="D9" s="2" t="str">
        <f>IF(ISNUMBER(SEARCH(LOWER([1]Sheet1!$D$1),LOWER(B9))),"Ya","Tidak")</f>
        <v>Tidak</v>
      </c>
      <c r="E9" s="2" t="str">
        <f>IF(ISNUMBER(SEARCH(LOWER([1]Sheet1!$E$1),LOWER(B9))),"Ya","Tidak")</f>
        <v>Tidak</v>
      </c>
      <c r="F9" s="2" t="str">
        <f>IF(ISNUMBER(SEARCH(LOWER([1]Sheet1!$F$1),LOWER(B9))),"Ya","Tidak")</f>
        <v>Tidak</v>
      </c>
      <c r="G9" s="2" t="str">
        <f>IF(ISNUMBER(SEARCH(LOWER([1]Sheet1!$G$1),LOWER(B9))),"Ya","Tidak")</f>
        <v>Tidak</v>
      </c>
      <c r="H9" s="2" t="str">
        <f>IF(ISNUMBER(SEARCH(LOWER([1]Sheet1!$H$1),LOWER(B9))),"Ya","Tidak")</f>
        <v>Tidak</v>
      </c>
      <c r="I9" s="2" t="str">
        <f>IF(ISNUMBER(SEARCH(LOWER([1]Sheet1!$I$1),LOWER(B9))),"Ya","Tidak")</f>
        <v>Tidak</v>
      </c>
      <c r="J9" s="2" t="str">
        <f>IF(OR(ISNUMBER(SEARCH(LOWER([1]Sheet1!$J$1),LOWER(B9))), ISNUMBER(SEARCH("dm",LOWER(B9)))),"Ya","Tidak")</f>
        <v>Tidak</v>
      </c>
      <c r="K9" s="2" t="str">
        <f>IF(ISNUMBER(SEARCH(LOWER([1]Sheet1!$K$1),LOWER(B9))),"Ya","Tidak")</f>
        <v>Tidak</v>
      </c>
      <c r="L9" s="2" t="str">
        <f>IF(ISNUMBER(SEARCH(LOWER([1]Sheet1!$L$1),LOWER(B9))),"Ya","Tidak")</f>
        <v>Tidak</v>
      </c>
      <c r="M9" s="2" t="str">
        <f>IF(ISNUMBER(SEARCH(LOWER([1]Sheet1!$M$1),LOWER(B9))),"Ya","Tidak")</f>
        <v>Tidak</v>
      </c>
      <c r="N9" s="2" t="str">
        <f>IF(ISNUMBER(SEARCH(LOWER([1]Sheet1!$N$1),LOWER(B9))),"Ya","Tidak")</f>
        <v>Tidak</v>
      </c>
      <c r="O9" s="2" t="str">
        <f>IF(ISNUMBER(SEARCH(LOWER([1]Sheet1!$O$1),LOWER(B9))),"Ya","Tidak")</f>
        <v>Tidak</v>
      </c>
      <c r="P9" s="2" t="str">
        <f>IF(ISNUMBER(SEARCH(LOWER([1]Sheet1!$P$1),LOWER(B9))),"Ya","Tidak")</f>
        <v>Tidak</v>
      </c>
      <c r="Q9" s="2" t="str">
        <f>IF(ISNUMBER(SEARCH(LOWER([1]Sheet1!$Q$1),LOWER(B9))),"Ya","Tidak")</f>
        <v>Tidak</v>
      </c>
      <c r="R9" s="2" t="str">
        <f>IF(ISNUMBER(SEARCH(LOWER([1]Sheet1!$R$1),LOWER(B9))),"Ya","Tidak")</f>
        <v>Tidak</v>
      </c>
      <c r="S9" s="3" t="s">
        <v>40</v>
      </c>
      <c r="T9" s="2" t="str">
        <f t="shared" si="0"/>
        <v>IA</v>
      </c>
      <c r="U9" s="2" t="str">
        <f t="shared" si="5"/>
        <v>Tidak ada metastasis KGB Regional</v>
      </c>
      <c r="V9" s="2" t="s">
        <v>41</v>
      </c>
      <c r="W9" s="4" t="s">
        <v>42</v>
      </c>
      <c r="X9" s="2" t="s">
        <v>43</v>
      </c>
      <c r="Y9" s="2" t="str">
        <f t="shared" si="1"/>
        <v>&lt;2 cm - 2 cm</v>
      </c>
      <c r="Z9" s="2" t="s">
        <v>5</v>
      </c>
      <c r="AA9" s="3">
        <v>44627</v>
      </c>
      <c r="AB9" s="3">
        <v>44735</v>
      </c>
      <c r="AC9" s="2">
        <f t="shared" si="2"/>
        <v>109</v>
      </c>
      <c r="AD9" s="2">
        <v>25</v>
      </c>
      <c r="AE9" s="2" t="s">
        <v>44</v>
      </c>
      <c r="AF9" s="2" t="str">
        <f t="shared" si="3"/>
        <v>Tidak ada</v>
      </c>
      <c r="AG9" s="2" t="s">
        <v>45</v>
      </c>
      <c r="AH9" s="2" t="str">
        <f t="shared" si="4"/>
        <v>Ada</v>
      </c>
    </row>
    <row r="10" spans="1:34" ht="39.5" x14ac:dyDescent="0.35">
      <c r="A10" s="1">
        <v>54</v>
      </c>
      <c r="B10" s="2"/>
      <c r="C10" s="2" t="str">
        <f>IF(ISNUMBER(SEARCH(LOWER([1]Sheet1!$C$1),LOWER(B10))),"Ya","Tidak")</f>
        <v>Tidak</v>
      </c>
      <c r="D10" s="2" t="str">
        <f>IF(ISNUMBER(SEARCH(LOWER([1]Sheet1!$D$1),LOWER(B10))),"Ya","Tidak")</f>
        <v>Tidak</v>
      </c>
      <c r="E10" s="2" t="str">
        <f>IF(ISNUMBER(SEARCH(LOWER([1]Sheet1!$E$1),LOWER(B10))),"Ya","Tidak")</f>
        <v>Tidak</v>
      </c>
      <c r="F10" s="2" t="str">
        <f>IF(ISNUMBER(SEARCH(LOWER([1]Sheet1!$F$1),LOWER(B10))),"Ya","Tidak")</f>
        <v>Tidak</v>
      </c>
      <c r="G10" s="2" t="str">
        <f>IF(ISNUMBER(SEARCH(LOWER([1]Sheet1!$G$1),LOWER(B10))),"Ya","Tidak")</f>
        <v>Tidak</v>
      </c>
      <c r="H10" s="2" t="str">
        <f>IF(ISNUMBER(SEARCH(LOWER([1]Sheet1!$H$1),LOWER(B10))),"Ya","Tidak")</f>
        <v>Tidak</v>
      </c>
      <c r="I10" s="2" t="str">
        <f>IF(ISNUMBER(SEARCH(LOWER([1]Sheet1!$I$1),LOWER(B10))),"Ya","Tidak")</f>
        <v>Tidak</v>
      </c>
      <c r="J10" s="2" t="str">
        <f>IF(OR(ISNUMBER(SEARCH(LOWER([1]Sheet1!$J$1),LOWER(B10))), ISNUMBER(SEARCH("dm",LOWER(B10)))),"Ya","Tidak")</f>
        <v>Tidak</v>
      </c>
      <c r="K10" s="2" t="str">
        <f>IF(ISNUMBER(SEARCH(LOWER([1]Sheet1!$K$1),LOWER(B10))),"Ya","Tidak")</f>
        <v>Tidak</v>
      </c>
      <c r="L10" s="2" t="str">
        <f>IF(ISNUMBER(SEARCH(LOWER([1]Sheet1!$L$1),LOWER(B10))),"Ya","Tidak")</f>
        <v>Tidak</v>
      </c>
      <c r="M10" s="2" t="str">
        <f>IF(ISNUMBER(SEARCH(LOWER([1]Sheet1!$M$1),LOWER(B10))),"Ya","Tidak")</f>
        <v>Tidak</v>
      </c>
      <c r="N10" s="2" t="str">
        <f>IF(ISNUMBER(SEARCH(LOWER([1]Sheet1!$N$1),LOWER(B10))),"Ya","Tidak")</f>
        <v>Tidak</v>
      </c>
      <c r="O10" s="2" t="str">
        <f>IF(ISNUMBER(SEARCH(LOWER([1]Sheet1!$O$1),LOWER(B10))),"Ya","Tidak")</f>
        <v>Tidak</v>
      </c>
      <c r="P10" s="2" t="str">
        <f>IF(ISNUMBER(SEARCH(LOWER([1]Sheet1!$P$1),LOWER(B10))),"Ya","Tidak")</f>
        <v>Tidak</v>
      </c>
      <c r="Q10" s="2" t="str">
        <f>IF(ISNUMBER(SEARCH(LOWER([1]Sheet1!$Q$1),LOWER(B10))),"Ya","Tidak")</f>
        <v>Tidak</v>
      </c>
      <c r="R10" s="2" t="str">
        <f>IF(ISNUMBER(SEARCH(LOWER([1]Sheet1!$R$1),LOWER(B10))),"Ya","Tidak")</f>
        <v>Tidak</v>
      </c>
      <c r="S10" s="3" t="s">
        <v>9</v>
      </c>
      <c r="T10" s="2" t="str">
        <f t="shared" si="0"/>
        <v>IIIA</v>
      </c>
      <c r="U10" s="2" t="str">
        <f t="shared" si="5"/>
        <v>Metastasis pada KGB aksila ipsilateral</v>
      </c>
      <c r="V10" s="2" t="s">
        <v>46</v>
      </c>
      <c r="W10" s="4" t="s">
        <v>3</v>
      </c>
      <c r="X10" s="2" t="s">
        <v>43</v>
      </c>
      <c r="Y10" s="2" t="str">
        <f t="shared" si="1"/>
        <v>&lt;2 cm - 2 cm</v>
      </c>
      <c r="Z10" s="2" t="s">
        <v>5</v>
      </c>
      <c r="AA10" s="3">
        <v>44770</v>
      </c>
      <c r="AB10" s="3">
        <v>44770</v>
      </c>
      <c r="AC10" s="2">
        <f t="shared" si="2"/>
        <v>1</v>
      </c>
      <c r="AD10" s="2">
        <v>25</v>
      </c>
      <c r="AE10" s="2" t="s">
        <v>47</v>
      </c>
      <c r="AF10" s="2" t="str">
        <f t="shared" si="3"/>
        <v>Tidak ada</v>
      </c>
      <c r="AG10" s="2" t="s">
        <v>48</v>
      </c>
      <c r="AH10" s="2" t="str">
        <f t="shared" si="4"/>
        <v>Tidak ada</v>
      </c>
    </row>
    <row r="11" spans="1:34" ht="39.5" x14ac:dyDescent="0.35">
      <c r="A11" s="1">
        <v>48</v>
      </c>
      <c r="B11" s="2"/>
      <c r="C11" s="2" t="str">
        <f>IF(ISNUMBER(SEARCH(LOWER([1]Sheet1!$C$1),LOWER(B11))),"Ya","Tidak")</f>
        <v>Tidak</v>
      </c>
      <c r="D11" s="2" t="str">
        <f>IF(ISNUMBER(SEARCH(LOWER([1]Sheet1!$D$1),LOWER(B11))),"Ya","Tidak")</f>
        <v>Tidak</v>
      </c>
      <c r="E11" s="2" t="str">
        <f>IF(ISNUMBER(SEARCH(LOWER([1]Sheet1!$E$1),LOWER(B11))),"Ya","Tidak")</f>
        <v>Tidak</v>
      </c>
      <c r="F11" s="2" t="str">
        <f>IF(ISNUMBER(SEARCH(LOWER([1]Sheet1!$F$1),LOWER(B11))),"Ya","Tidak")</f>
        <v>Tidak</v>
      </c>
      <c r="G11" s="2" t="str">
        <f>IF(ISNUMBER(SEARCH(LOWER([1]Sheet1!$G$1),LOWER(B11))),"Ya","Tidak")</f>
        <v>Tidak</v>
      </c>
      <c r="H11" s="2" t="str">
        <f>IF(ISNUMBER(SEARCH(LOWER([1]Sheet1!$H$1),LOWER(B11))),"Ya","Tidak")</f>
        <v>Tidak</v>
      </c>
      <c r="I11" s="2" t="str">
        <f>IF(ISNUMBER(SEARCH(LOWER([1]Sheet1!$I$1),LOWER(B11))),"Ya","Tidak")</f>
        <v>Tidak</v>
      </c>
      <c r="J11" s="2" t="str">
        <f>IF(OR(ISNUMBER(SEARCH(LOWER([1]Sheet1!$J$1),LOWER(B11))), ISNUMBER(SEARCH("dm",LOWER(B11)))),"Ya","Tidak")</f>
        <v>Tidak</v>
      </c>
      <c r="K11" s="2" t="str">
        <f>IF(ISNUMBER(SEARCH(LOWER([1]Sheet1!$K$1),LOWER(B11))),"Ya","Tidak")</f>
        <v>Tidak</v>
      </c>
      <c r="L11" s="2" t="str">
        <f>IF(ISNUMBER(SEARCH(LOWER([1]Sheet1!$L$1),LOWER(B11))),"Ya","Tidak")</f>
        <v>Tidak</v>
      </c>
      <c r="M11" s="2" t="str">
        <f>IF(ISNUMBER(SEARCH(LOWER([1]Sheet1!$M$1),LOWER(B11))),"Ya","Tidak")</f>
        <v>Tidak</v>
      </c>
      <c r="N11" s="2" t="str">
        <f>IF(ISNUMBER(SEARCH(LOWER([1]Sheet1!$N$1),LOWER(B11))),"Ya","Tidak")</f>
        <v>Tidak</v>
      </c>
      <c r="O11" s="2" t="str">
        <f>IF(ISNUMBER(SEARCH(LOWER([1]Sheet1!$O$1),LOWER(B11))),"Ya","Tidak")</f>
        <v>Tidak</v>
      </c>
      <c r="P11" s="2" t="str">
        <f>IF(ISNUMBER(SEARCH(LOWER([1]Sheet1!$P$1),LOWER(B11))),"Ya","Tidak")</f>
        <v>Tidak</v>
      </c>
      <c r="Q11" s="2" t="str">
        <f>IF(ISNUMBER(SEARCH(LOWER([1]Sheet1!$Q$1),LOWER(B11))),"Ya","Tidak")</f>
        <v>Tidak</v>
      </c>
      <c r="R11" s="2" t="str">
        <f>IF(ISNUMBER(SEARCH(LOWER([1]Sheet1!$R$1),LOWER(B11))),"Ya","Tidak")</f>
        <v>Tidak</v>
      </c>
      <c r="S11" s="3" t="s">
        <v>9</v>
      </c>
      <c r="T11" s="2" t="str">
        <f t="shared" si="0"/>
        <v>IIIA</v>
      </c>
      <c r="U11" s="2" t="str">
        <f t="shared" si="5"/>
        <v>Metastasis pada KGB aksila ipsilateral</v>
      </c>
      <c r="V11" s="2" t="s">
        <v>49</v>
      </c>
      <c r="W11" s="4" t="s">
        <v>23</v>
      </c>
      <c r="X11" s="2" t="s">
        <v>12</v>
      </c>
      <c r="Y11" s="2" t="str">
        <f t="shared" si="1"/>
        <v>&gt;5cm</v>
      </c>
      <c r="Z11" s="2" t="s">
        <v>5</v>
      </c>
      <c r="AA11" s="3">
        <v>44627</v>
      </c>
      <c r="AB11" s="3">
        <v>44771</v>
      </c>
      <c r="AC11" s="2">
        <f t="shared" si="2"/>
        <v>145</v>
      </c>
      <c r="AD11" s="2">
        <v>25</v>
      </c>
      <c r="AE11" s="2"/>
      <c r="AF11" s="2" t="str">
        <f t="shared" si="3"/>
        <v>Tidak ada</v>
      </c>
      <c r="AG11" s="2" t="s">
        <v>50</v>
      </c>
      <c r="AH11" s="2" t="str">
        <f t="shared" si="4"/>
        <v>Tidak ada</v>
      </c>
    </row>
    <row r="12" spans="1:34" ht="39.5" x14ac:dyDescent="0.35">
      <c r="A12" s="1">
        <v>39</v>
      </c>
      <c r="B12" s="2"/>
      <c r="C12" s="2" t="str">
        <f>IF(ISNUMBER(SEARCH(LOWER([1]Sheet1!$C$1),LOWER(B12))),"Ya","Tidak")</f>
        <v>Tidak</v>
      </c>
      <c r="D12" s="2" t="str">
        <f>IF(ISNUMBER(SEARCH(LOWER([1]Sheet1!$D$1),LOWER(B12))),"Ya","Tidak")</f>
        <v>Tidak</v>
      </c>
      <c r="E12" s="2" t="str">
        <f>IF(ISNUMBER(SEARCH(LOWER([1]Sheet1!$E$1),LOWER(B12))),"Ya","Tidak")</f>
        <v>Tidak</v>
      </c>
      <c r="F12" s="2" t="str">
        <f>IF(ISNUMBER(SEARCH(LOWER([1]Sheet1!$F$1),LOWER(B12))),"Ya","Tidak")</f>
        <v>Tidak</v>
      </c>
      <c r="G12" s="2" t="str">
        <f>IF(ISNUMBER(SEARCH(LOWER([1]Sheet1!$G$1),LOWER(B12))),"Ya","Tidak")</f>
        <v>Tidak</v>
      </c>
      <c r="H12" s="2" t="str">
        <f>IF(ISNUMBER(SEARCH(LOWER([1]Sheet1!$H$1),LOWER(B12))),"Ya","Tidak")</f>
        <v>Tidak</v>
      </c>
      <c r="I12" s="2" t="str">
        <f>IF(ISNUMBER(SEARCH(LOWER([1]Sheet1!$I$1),LOWER(B12))),"Ya","Tidak")</f>
        <v>Tidak</v>
      </c>
      <c r="J12" s="2" t="str">
        <f>IF(OR(ISNUMBER(SEARCH(LOWER([1]Sheet1!$J$1),LOWER(B12))), ISNUMBER(SEARCH("dm",LOWER(B12)))),"Ya","Tidak")</f>
        <v>Tidak</v>
      </c>
      <c r="K12" s="2" t="str">
        <f>IF(ISNUMBER(SEARCH(LOWER([1]Sheet1!$K$1),LOWER(B12))),"Ya","Tidak")</f>
        <v>Tidak</v>
      </c>
      <c r="L12" s="2" t="str">
        <f>IF(ISNUMBER(SEARCH(LOWER([1]Sheet1!$L$1),LOWER(B12))),"Ya","Tidak")</f>
        <v>Tidak</v>
      </c>
      <c r="M12" s="2" t="str">
        <f>IF(ISNUMBER(SEARCH(LOWER([1]Sheet1!$M$1),LOWER(B12))),"Ya","Tidak")</f>
        <v>Tidak</v>
      </c>
      <c r="N12" s="2" t="str">
        <f>IF(ISNUMBER(SEARCH(LOWER([1]Sheet1!$N$1),LOWER(B12))),"Ya","Tidak")</f>
        <v>Tidak</v>
      </c>
      <c r="O12" s="2" t="str">
        <f>IF(ISNUMBER(SEARCH(LOWER([1]Sheet1!$O$1),LOWER(B12))),"Ya","Tidak")</f>
        <v>Tidak</v>
      </c>
      <c r="P12" s="2" t="str">
        <f>IF(ISNUMBER(SEARCH(LOWER([1]Sheet1!$P$1),LOWER(B12))),"Ya","Tidak")</f>
        <v>Tidak</v>
      </c>
      <c r="Q12" s="2" t="str">
        <f>IF(ISNUMBER(SEARCH(LOWER([1]Sheet1!$Q$1),LOWER(B12))),"Ya","Tidak")</f>
        <v>Tidak</v>
      </c>
      <c r="R12" s="2" t="str">
        <f>IF(ISNUMBER(SEARCH(LOWER([1]Sheet1!$R$1),LOWER(B12))),"Ya","Tidak")</f>
        <v>Tidak</v>
      </c>
      <c r="S12" s="3" t="s">
        <v>51</v>
      </c>
      <c r="T12" s="2" t="str">
        <f t="shared" si="0"/>
        <v>IIIC</v>
      </c>
      <c r="U12" s="2" t="str">
        <f t="shared" si="5"/>
        <v>Metastasis pada KGB infraklavikula ipsilateral</v>
      </c>
      <c r="V12" s="2" t="s">
        <v>52</v>
      </c>
      <c r="W12" s="4" t="s">
        <v>53</v>
      </c>
      <c r="X12" s="2" t="s">
        <v>43</v>
      </c>
      <c r="Y12" s="2" t="str">
        <f t="shared" si="1"/>
        <v>&lt;2 cm - 2 cm</v>
      </c>
      <c r="Z12" s="2" t="s">
        <v>5</v>
      </c>
      <c r="AA12" s="3">
        <v>44679</v>
      </c>
      <c r="AB12" s="3">
        <v>44826</v>
      </c>
      <c r="AC12" s="2">
        <f t="shared" si="2"/>
        <v>148</v>
      </c>
      <c r="AD12" s="2">
        <v>30</v>
      </c>
      <c r="AE12" s="2" t="s">
        <v>54</v>
      </c>
      <c r="AF12" s="2" t="str">
        <f t="shared" si="3"/>
        <v>Ada</v>
      </c>
      <c r="AG12" s="2"/>
      <c r="AH12" s="2" t="str">
        <f t="shared" si="4"/>
        <v>Tidak ada</v>
      </c>
    </row>
    <row r="13" spans="1:34" ht="39.5" x14ac:dyDescent="0.35">
      <c r="A13" s="2">
        <v>45</v>
      </c>
      <c r="B13" s="2"/>
      <c r="C13" s="2" t="str">
        <f>IF(ISNUMBER(SEARCH(LOWER([1]Sheet1!$C$1),LOWER(B13))),"Ya","Tidak")</f>
        <v>Tidak</v>
      </c>
      <c r="D13" s="2" t="str">
        <f>IF(ISNUMBER(SEARCH(LOWER([1]Sheet1!$D$1),LOWER(B13))),"Ya","Tidak")</f>
        <v>Tidak</v>
      </c>
      <c r="E13" s="2" t="str">
        <f>IF(ISNUMBER(SEARCH(LOWER([1]Sheet1!$E$1),LOWER(B13))),"Ya","Tidak")</f>
        <v>Tidak</v>
      </c>
      <c r="F13" s="2" t="str">
        <f>IF(ISNUMBER(SEARCH(LOWER([1]Sheet1!$F$1),LOWER(B13))),"Ya","Tidak")</f>
        <v>Tidak</v>
      </c>
      <c r="G13" s="2" t="str">
        <f>IF(ISNUMBER(SEARCH(LOWER([1]Sheet1!$G$1),LOWER(B13))),"Ya","Tidak")</f>
        <v>Tidak</v>
      </c>
      <c r="H13" s="2" t="str">
        <f>IF(ISNUMBER(SEARCH(LOWER([1]Sheet1!$H$1),LOWER(B13))),"Ya","Tidak")</f>
        <v>Tidak</v>
      </c>
      <c r="I13" s="2" t="str">
        <f>IF(ISNUMBER(SEARCH(LOWER([1]Sheet1!$I$1),LOWER(B13))),"Ya","Tidak")</f>
        <v>Tidak</v>
      </c>
      <c r="J13" s="2" t="str">
        <f>IF(OR(ISNUMBER(SEARCH(LOWER([1]Sheet1!$J$1),LOWER(B13))), ISNUMBER(SEARCH("dm",LOWER(B13)))),"Ya","Tidak")</f>
        <v>Tidak</v>
      </c>
      <c r="K13" s="2" t="str">
        <f>IF(ISNUMBER(SEARCH(LOWER([1]Sheet1!$K$1),LOWER(B13))),"Ya","Tidak")</f>
        <v>Tidak</v>
      </c>
      <c r="L13" s="2" t="str">
        <f>IF(ISNUMBER(SEARCH(LOWER([1]Sheet1!$L$1),LOWER(B13))),"Ya","Tidak")</f>
        <v>Tidak</v>
      </c>
      <c r="M13" s="2" t="str">
        <f>IF(ISNUMBER(SEARCH(LOWER([1]Sheet1!$M$1),LOWER(B13))),"Ya","Tidak")</f>
        <v>Tidak</v>
      </c>
      <c r="N13" s="2" t="str">
        <f>IF(ISNUMBER(SEARCH(LOWER([1]Sheet1!$N$1),LOWER(B13))),"Ya","Tidak")</f>
        <v>Tidak</v>
      </c>
      <c r="O13" s="2" t="str">
        <f>IF(ISNUMBER(SEARCH(LOWER([1]Sheet1!$O$1),LOWER(B13))),"Ya","Tidak")</f>
        <v>Tidak</v>
      </c>
      <c r="P13" s="2" t="str">
        <f>IF(ISNUMBER(SEARCH(LOWER([1]Sheet1!$P$1),LOWER(B13))),"Ya","Tidak")</f>
        <v>Tidak</v>
      </c>
      <c r="Q13" s="2" t="str">
        <f>IF(ISNUMBER(SEARCH(LOWER([1]Sheet1!$Q$1),LOWER(B13))),"Ya","Tidak")</f>
        <v>Tidak</v>
      </c>
      <c r="R13" s="2" t="str">
        <f>IF(ISNUMBER(SEARCH(LOWER([1]Sheet1!$R$1),LOWER(B13))),"Ya","Tidak")</f>
        <v>Tidak</v>
      </c>
      <c r="S13" s="3" t="s">
        <v>9</v>
      </c>
      <c r="T13" s="2" t="str">
        <f t="shared" si="0"/>
        <v>IIIA</v>
      </c>
      <c r="U13" s="2" t="str">
        <f t="shared" si="5"/>
        <v>Metastasis pada KGB aksila ipsilateral</v>
      </c>
      <c r="V13" s="2" t="s">
        <v>55</v>
      </c>
      <c r="W13" s="4" t="s">
        <v>3</v>
      </c>
      <c r="X13" s="2" t="s">
        <v>43</v>
      </c>
      <c r="Y13" s="2" t="str">
        <f t="shared" si="1"/>
        <v>&lt;2 cm - 2 cm</v>
      </c>
      <c r="Z13" s="2" t="s">
        <v>5</v>
      </c>
      <c r="AA13" s="3">
        <v>44874</v>
      </c>
      <c r="AB13" s="3">
        <v>44914</v>
      </c>
      <c r="AC13" s="2">
        <f t="shared" si="2"/>
        <v>41</v>
      </c>
      <c r="AD13" s="2">
        <v>25</v>
      </c>
      <c r="AE13" s="2" t="s">
        <v>56</v>
      </c>
      <c r="AF13" s="2" t="str">
        <f t="shared" si="3"/>
        <v>Tidak ada</v>
      </c>
      <c r="AG13" s="2" t="s">
        <v>57</v>
      </c>
      <c r="AH13" s="2" t="str">
        <f t="shared" si="4"/>
        <v>Tidak ada</v>
      </c>
    </row>
    <row r="14" spans="1:34" ht="39.5" x14ac:dyDescent="0.35">
      <c r="A14" s="2">
        <v>45</v>
      </c>
      <c r="B14" s="2" t="s">
        <v>26</v>
      </c>
      <c r="C14" s="2" t="str">
        <f>IF(ISNUMBER(SEARCH(LOWER([1]Sheet1!$C$1),LOWER(B14))),"Ya","Tidak")</f>
        <v>Tidak</v>
      </c>
      <c r="D14" s="2" t="str">
        <f>IF(ISNUMBER(SEARCH(LOWER([1]Sheet1!$D$1),LOWER(B14))),"Ya","Tidak")</f>
        <v>Tidak</v>
      </c>
      <c r="E14" s="2" t="str">
        <f>IF(ISNUMBER(SEARCH(LOWER([1]Sheet1!$E$1),LOWER(B14))),"Ya","Tidak")</f>
        <v>Ya</v>
      </c>
      <c r="F14" s="2" t="str">
        <f>IF(ISNUMBER(SEARCH(LOWER([1]Sheet1!$F$1),LOWER(B14))),"Ya","Tidak")</f>
        <v>Tidak</v>
      </c>
      <c r="G14" s="2" t="str">
        <f>IF(ISNUMBER(SEARCH(LOWER([1]Sheet1!$G$1),LOWER(B14))),"Ya","Tidak")</f>
        <v>Tidak</v>
      </c>
      <c r="H14" s="2" t="str">
        <f>IF(ISNUMBER(SEARCH(LOWER([1]Sheet1!$H$1),LOWER(B14))),"Ya","Tidak")</f>
        <v>Tidak</v>
      </c>
      <c r="I14" s="2" t="str">
        <f>IF(ISNUMBER(SEARCH(LOWER([1]Sheet1!$I$1),LOWER(B14))),"Ya","Tidak")</f>
        <v>Tidak</v>
      </c>
      <c r="J14" s="2" t="str">
        <f>IF(OR(ISNUMBER(SEARCH(LOWER([1]Sheet1!$J$1),LOWER(B14))), ISNUMBER(SEARCH("dm",LOWER(B14)))),"Ya","Tidak")</f>
        <v>Tidak</v>
      </c>
      <c r="K14" s="2" t="str">
        <f>IF(ISNUMBER(SEARCH(LOWER([1]Sheet1!$K$1),LOWER(B14))),"Ya","Tidak")</f>
        <v>Tidak</v>
      </c>
      <c r="L14" s="2" t="str">
        <f>IF(ISNUMBER(SEARCH(LOWER([1]Sheet1!$L$1),LOWER(B14))),"Ya","Tidak")</f>
        <v>Tidak</v>
      </c>
      <c r="M14" s="2" t="str">
        <f>IF(ISNUMBER(SEARCH(LOWER([1]Sheet1!$M$1),LOWER(B14))),"Ya","Tidak")</f>
        <v>Tidak</v>
      </c>
      <c r="N14" s="2" t="str">
        <f>IF(ISNUMBER(SEARCH(LOWER([1]Sheet1!$N$1),LOWER(B14))),"Ya","Tidak")</f>
        <v>Tidak</v>
      </c>
      <c r="O14" s="2" t="str">
        <f>IF(ISNUMBER(SEARCH(LOWER([1]Sheet1!$O$1),LOWER(B14))),"Ya","Tidak")</f>
        <v>Tidak</v>
      </c>
      <c r="P14" s="2" t="str">
        <f>IF(ISNUMBER(SEARCH(LOWER([1]Sheet1!$P$1),LOWER(B14))),"Ya","Tidak")</f>
        <v>Tidak</v>
      </c>
      <c r="Q14" s="2" t="str">
        <f>IF(ISNUMBER(SEARCH(LOWER([1]Sheet1!$Q$1),LOWER(B14))),"Ya","Tidak")</f>
        <v>Tidak</v>
      </c>
      <c r="R14" s="2" t="str">
        <f>IF(ISNUMBER(SEARCH(LOWER([1]Sheet1!$R$1),LOWER(B14))),"Ya","Tidak")</f>
        <v>Tidak</v>
      </c>
      <c r="S14" s="3" t="s">
        <v>58</v>
      </c>
      <c r="T14" s="2" t="str">
        <f t="shared" si="0"/>
        <v>IIB</v>
      </c>
      <c r="U14" s="2" t="str">
        <f t="shared" si="5"/>
        <v>Metastasis pada KGB aksila ipsilateral</v>
      </c>
      <c r="V14" s="2" t="s">
        <v>59</v>
      </c>
      <c r="W14" s="4" t="s">
        <v>23</v>
      </c>
      <c r="X14" s="2" t="s">
        <v>17</v>
      </c>
      <c r="Y14" s="2" t="str">
        <f t="shared" si="1"/>
        <v>&gt;2 cm - &lt;5cm</v>
      </c>
      <c r="Z14" s="2" t="s">
        <v>5</v>
      </c>
      <c r="AA14" s="3">
        <v>44867</v>
      </c>
      <c r="AB14" s="3">
        <v>44936</v>
      </c>
      <c r="AC14" s="2">
        <f t="shared" si="2"/>
        <v>70</v>
      </c>
      <c r="AD14" s="2">
        <v>30</v>
      </c>
      <c r="AE14" s="2" t="s">
        <v>60</v>
      </c>
      <c r="AF14" s="2" t="str">
        <f t="shared" si="3"/>
        <v>Tidak ada</v>
      </c>
      <c r="AG14" s="2" t="s">
        <v>61</v>
      </c>
      <c r="AH14" s="2" t="str">
        <f t="shared" si="4"/>
        <v>Tidak ada</v>
      </c>
    </row>
    <row r="15" spans="1:34" ht="39.5" x14ac:dyDescent="0.35">
      <c r="A15" s="2">
        <v>39</v>
      </c>
      <c r="B15" s="2" t="s">
        <v>62</v>
      </c>
      <c r="C15" s="2" t="str">
        <f>IF(ISNUMBER(SEARCH(LOWER([1]Sheet1!$C$1),LOWER(B15))),"Ya","Tidak")</f>
        <v>Ya</v>
      </c>
      <c r="D15" s="2" t="str">
        <f>IF(ISNUMBER(SEARCH(LOWER([1]Sheet1!$D$1),LOWER(B15))),"Ya","Tidak")</f>
        <v>Tidak</v>
      </c>
      <c r="E15" s="2" t="str">
        <f>IF(ISNUMBER(SEARCH(LOWER([1]Sheet1!$E$1),LOWER(B15))),"Ya","Tidak")</f>
        <v>Ya</v>
      </c>
      <c r="F15" s="2" t="str">
        <f>IF(ISNUMBER(SEARCH(LOWER([1]Sheet1!$F$1),LOWER(B15))),"Ya","Tidak")</f>
        <v>Tidak</v>
      </c>
      <c r="G15" s="2" t="str">
        <f>IF(ISNUMBER(SEARCH(LOWER([1]Sheet1!$G$1),LOWER(B15))),"Ya","Tidak")</f>
        <v>Tidak</v>
      </c>
      <c r="H15" s="2" t="str">
        <f>IF(ISNUMBER(SEARCH(LOWER([1]Sheet1!$H$1),LOWER(B15))),"Ya","Tidak")</f>
        <v>Tidak</v>
      </c>
      <c r="I15" s="2" t="str">
        <f>IF(ISNUMBER(SEARCH(LOWER([1]Sheet1!$I$1),LOWER(B15))),"Ya","Tidak")</f>
        <v>Tidak</v>
      </c>
      <c r="J15" s="2" t="str">
        <f>IF(OR(ISNUMBER(SEARCH(LOWER([1]Sheet1!$J$1),LOWER(B15))), ISNUMBER(SEARCH("dm",LOWER(B15)))),"Ya","Tidak")</f>
        <v>Tidak</v>
      </c>
      <c r="K15" s="2" t="str">
        <f>IF(ISNUMBER(SEARCH(LOWER([1]Sheet1!$K$1),LOWER(B15))),"Ya","Tidak")</f>
        <v>Tidak</v>
      </c>
      <c r="L15" s="2" t="str">
        <f>IF(ISNUMBER(SEARCH(LOWER([1]Sheet1!$L$1),LOWER(B15))),"Ya","Tidak")</f>
        <v>Tidak</v>
      </c>
      <c r="M15" s="2" t="str">
        <f>IF(ISNUMBER(SEARCH(LOWER([1]Sheet1!$M$1),LOWER(B15))),"Ya","Tidak")</f>
        <v>Tidak</v>
      </c>
      <c r="N15" s="2" t="str">
        <f>IF(ISNUMBER(SEARCH(LOWER([1]Sheet1!$N$1),LOWER(B15))),"Ya","Tidak")</f>
        <v>Tidak</v>
      </c>
      <c r="O15" s="2" t="str">
        <f>IF(ISNUMBER(SEARCH(LOWER([1]Sheet1!$O$1),LOWER(B15))),"Ya","Tidak")</f>
        <v>Tidak</v>
      </c>
      <c r="P15" s="2" t="str">
        <f>IF(ISNUMBER(SEARCH(LOWER([1]Sheet1!$P$1),LOWER(B15))),"Ya","Tidak")</f>
        <v>Tidak</v>
      </c>
      <c r="Q15" s="2" t="str">
        <f>IF(ISNUMBER(SEARCH(LOWER([1]Sheet1!$Q$1),LOWER(B15))),"Ya","Tidak")</f>
        <v>Tidak</v>
      </c>
      <c r="R15" s="2" t="str">
        <f>IF(ISNUMBER(SEARCH(LOWER([1]Sheet1!$R$1),LOWER(B15))),"Ya","Tidak")</f>
        <v>Tidak</v>
      </c>
      <c r="S15" s="3" t="s">
        <v>63</v>
      </c>
      <c r="T15" s="2" t="str">
        <f t="shared" si="0"/>
        <v>IIIB</v>
      </c>
      <c r="U15" s="2" t="str">
        <f t="shared" si="5"/>
        <v>1-3 KGB aksila</v>
      </c>
      <c r="V15" s="2" t="s">
        <v>64</v>
      </c>
      <c r="W15" s="4" t="s">
        <v>3</v>
      </c>
      <c r="X15" s="2" t="s">
        <v>4</v>
      </c>
      <c r="Y15" s="2" t="str">
        <f t="shared" si="1"/>
        <v>&gt;5 cm dengan eksistensi langsung ke dinding dada/kulit</v>
      </c>
      <c r="Z15" s="2" t="s">
        <v>5</v>
      </c>
      <c r="AA15" s="3">
        <v>44720</v>
      </c>
      <c r="AB15" s="7">
        <v>44783</v>
      </c>
      <c r="AC15" s="2">
        <f t="shared" si="2"/>
        <v>64</v>
      </c>
      <c r="AD15" s="2">
        <v>30</v>
      </c>
      <c r="AE15" s="2" t="s">
        <v>65</v>
      </c>
      <c r="AF15" s="2" t="str">
        <f t="shared" si="3"/>
        <v>Tidak ada</v>
      </c>
      <c r="AG15" s="2" t="s">
        <v>66</v>
      </c>
      <c r="AH15" s="2" t="str">
        <f t="shared" si="4"/>
        <v>Tidak ada</v>
      </c>
    </row>
    <row r="16" spans="1:34" ht="26.5" x14ac:dyDescent="0.35">
      <c r="A16" s="2">
        <v>59</v>
      </c>
      <c r="B16" s="2" t="s">
        <v>67</v>
      </c>
      <c r="C16" s="2" t="str">
        <f>IF(ISNUMBER(SEARCH(LOWER([1]Sheet1!$C$1),LOWER(B16))),"Ya","Tidak")</f>
        <v>Ya</v>
      </c>
      <c r="D16" s="2" t="str">
        <f>IF(ISNUMBER(SEARCH(LOWER([1]Sheet1!$D$1),LOWER(B16))),"Ya","Tidak")</f>
        <v>Tidak</v>
      </c>
      <c r="E16" s="2" t="str">
        <f>IF(ISNUMBER(SEARCH(LOWER([1]Sheet1!$E$1),LOWER(B16))),"Ya","Tidak")</f>
        <v>Tidak</v>
      </c>
      <c r="F16" s="2" t="str">
        <f>IF(ISNUMBER(SEARCH(LOWER([1]Sheet1!$F$1),LOWER(B16))),"Ya","Tidak")</f>
        <v>Tidak</v>
      </c>
      <c r="G16" s="2" t="str">
        <f>IF(ISNUMBER(SEARCH(LOWER([1]Sheet1!$G$1),LOWER(B16))),"Ya","Tidak")</f>
        <v>Tidak</v>
      </c>
      <c r="H16" s="2" t="str">
        <f>IF(ISNUMBER(SEARCH(LOWER([1]Sheet1!$H$1),LOWER(B16))),"Ya","Tidak")</f>
        <v>Tidak</v>
      </c>
      <c r="I16" s="2" t="str">
        <f>IF(ISNUMBER(SEARCH(LOWER([1]Sheet1!$I$1),LOWER(B16))),"Ya","Tidak")</f>
        <v>Tidak</v>
      </c>
      <c r="J16" s="2" t="str">
        <f>IF(OR(ISNUMBER(SEARCH(LOWER([1]Sheet1!$J$1),LOWER(B16))), ISNUMBER(SEARCH("dm",LOWER(B16)))),"Ya","Tidak")</f>
        <v>Tidak</v>
      </c>
      <c r="K16" s="2" t="str">
        <f>IF(ISNUMBER(SEARCH(LOWER([1]Sheet1!$K$1),LOWER(B16))),"Ya","Tidak")</f>
        <v>Tidak</v>
      </c>
      <c r="L16" s="2" t="str">
        <f>IF(ISNUMBER(SEARCH(LOWER([1]Sheet1!$L$1),LOWER(B16))),"Ya","Tidak")</f>
        <v>Tidak</v>
      </c>
      <c r="M16" s="2" t="str">
        <f>IF(ISNUMBER(SEARCH(LOWER([1]Sheet1!$M$1),LOWER(B16))),"Ya","Tidak")</f>
        <v>Ya</v>
      </c>
      <c r="N16" s="2" t="str">
        <f>IF(ISNUMBER(SEARCH(LOWER([1]Sheet1!$N$1),LOWER(B16))),"Ya","Tidak")</f>
        <v>Tidak</v>
      </c>
      <c r="O16" s="2" t="str">
        <f>IF(ISNUMBER(SEARCH(LOWER([1]Sheet1!$O$1),LOWER(B16))),"Ya","Tidak")</f>
        <v>Tidak</v>
      </c>
      <c r="P16" s="2" t="str">
        <f>IF(ISNUMBER(SEARCH(LOWER([1]Sheet1!$P$1),LOWER(B16))),"Ya","Tidak")</f>
        <v>Tidak</v>
      </c>
      <c r="Q16" s="2" t="str">
        <f>IF(ISNUMBER(SEARCH(LOWER([1]Sheet1!$Q$1),LOWER(B16))),"Ya","Tidak")</f>
        <v>Tidak</v>
      </c>
      <c r="R16" s="2" t="str">
        <f>IF(ISNUMBER(SEARCH(LOWER([1]Sheet1!$R$1),LOWER(B16))),"Ya","Tidak")</f>
        <v>Tidak</v>
      </c>
      <c r="S16" s="3" t="s">
        <v>68</v>
      </c>
      <c r="T16" s="2" t="str">
        <f t="shared" si="0"/>
        <v>IIB</v>
      </c>
      <c r="U16" s="2" t="str">
        <f t="shared" si="5"/>
        <v>Tidak ada metastasis KGB Regional</v>
      </c>
      <c r="V16" s="2" t="s">
        <v>69</v>
      </c>
      <c r="W16" s="4" t="s">
        <v>70</v>
      </c>
      <c r="X16" s="2" t="s">
        <v>12</v>
      </c>
      <c r="Y16" s="2" t="str">
        <f t="shared" si="1"/>
        <v>&gt;5cm</v>
      </c>
      <c r="Z16" s="2" t="s">
        <v>5</v>
      </c>
      <c r="AA16" s="3">
        <v>44720</v>
      </c>
      <c r="AB16" s="3">
        <v>44848</v>
      </c>
      <c r="AC16" s="2">
        <f t="shared" si="2"/>
        <v>129</v>
      </c>
      <c r="AD16" s="2">
        <v>25</v>
      </c>
      <c r="AE16" s="2" t="s">
        <v>71</v>
      </c>
      <c r="AF16" s="2" t="str">
        <f t="shared" si="3"/>
        <v>Tidak ada</v>
      </c>
      <c r="AG16" s="2" t="s">
        <v>72</v>
      </c>
      <c r="AH16" s="2" t="str">
        <f t="shared" si="4"/>
        <v>Tidak ada</v>
      </c>
    </row>
    <row r="17" spans="1:34" ht="26.5" x14ac:dyDescent="0.35">
      <c r="A17" s="2">
        <v>65</v>
      </c>
      <c r="B17" s="2" t="s">
        <v>73</v>
      </c>
      <c r="C17" s="2" t="str">
        <f>IF(ISNUMBER(SEARCH(LOWER([1]Sheet1!$C$1),LOWER(B17))),"Ya","Tidak")</f>
        <v>Ya</v>
      </c>
      <c r="D17" s="2" t="str">
        <f>IF(ISNUMBER(SEARCH(LOWER([1]Sheet1!$D$1),LOWER(B17))),"Ya","Tidak")</f>
        <v>Tidak</v>
      </c>
      <c r="E17" s="2" t="str">
        <f>IF(ISNUMBER(SEARCH(LOWER([1]Sheet1!$E$1),LOWER(B17))),"Ya","Tidak")</f>
        <v>Tidak</v>
      </c>
      <c r="F17" s="2" t="str">
        <f>IF(ISNUMBER(SEARCH(LOWER([1]Sheet1!$F$1),LOWER(B17))),"Ya","Tidak")</f>
        <v>Tidak</v>
      </c>
      <c r="G17" s="2" t="str">
        <f>IF(ISNUMBER(SEARCH(LOWER([1]Sheet1!$G$1),LOWER(B17))),"Ya","Tidak")</f>
        <v>Tidak</v>
      </c>
      <c r="H17" s="2" t="str">
        <f>IF(ISNUMBER(SEARCH(LOWER([1]Sheet1!$H$1),LOWER(B17))),"Ya","Tidak")</f>
        <v>Tidak</v>
      </c>
      <c r="I17" s="2" t="str">
        <f>IF(ISNUMBER(SEARCH(LOWER([1]Sheet1!$I$1),LOWER(B17))),"Ya","Tidak")</f>
        <v>Tidak</v>
      </c>
      <c r="J17" s="2" t="str">
        <f>IF(OR(ISNUMBER(SEARCH(LOWER([1]Sheet1!$J$1),LOWER(B17))), ISNUMBER(SEARCH("dm",LOWER(B17)))),"Ya","Tidak")</f>
        <v>Tidak</v>
      </c>
      <c r="K17" s="2" t="str">
        <f>IF(ISNUMBER(SEARCH(LOWER([1]Sheet1!$K$1),LOWER(B17))),"Ya","Tidak")</f>
        <v>Tidak</v>
      </c>
      <c r="L17" s="2" t="str">
        <f>IF(ISNUMBER(SEARCH(LOWER([1]Sheet1!$L$1),LOWER(B17))),"Ya","Tidak")</f>
        <v>Tidak</v>
      </c>
      <c r="M17" s="2" t="str">
        <f>IF(ISNUMBER(SEARCH(LOWER([1]Sheet1!$M$1),LOWER(B17))),"Ya","Tidak")</f>
        <v>Tidak</v>
      </c>
      <c r="N17" s="2" t="str">
        <f>IF(ISNUMBER(SEARCH(LOWER([1]Sheet1!$N$1),LOWER(B17))),"Ya","Tidak")</f>
        <v>Tidak</v>
      </c>
      <c r="O17" s="2" t="str">
        <f>IF(ISNUMBER(SEARCH(LOWER([1]Sheet1!$O$1),LOWER(B17))),"Ya","Tidak")</f>
        <v>Tidak</v>
      </c>
      <c r="P17" s="2" t="str">
        <f>IF(ISNUMBER(SEARCH(LOWER([1]Sheet1!$P$1),LOWER(B17))),"Ya","Tidak")</f>
        <v>Tidak</v>
      </c>
      <c r="Q17" s="2" t="str">
        <f>IF(ISNUMBER(SEARCH(LOWER([1]Sheet1!$Q$1),LOWER(B17))),"Ya","Tidak")</f>
        <v>Tidak</v>
      </c>
      <c r="R17" s="2" t="str">
        <f>IF(ISNUMBER(SEARCH(LOWER([1]Sheet1!$R$1),LOWER(B17))),"Ya","Tidak")</f>
        <v>Tidak</v>
      </c>
      <c r="S17" s="3" t="s">
        <v>74</v>
      </c>
      <c r="T17" s="2" t="str">
        <f t="shared" si="0"/>
        <v>IIB</v>
      </c>
      <c r="U17" s="2" t="str">
        <f t="shared" si="5"/>
        <v>Metastasis pada KGB aksila ipsilateral</v>
      </c>
      <c r="V17" s="2" t="s">
        <v>59</v>
      </c>
      <c r="W17" s="4" t="s">
        <v>70</v>
      </c>
      <c r="X17" s="2" t="s">
        <v>17</v>
      </c>
      <c r="Y17" s="2" t="str">
        <f t="shared" si="1"/>
        <v>&gt;2 cm - &lt;5cm</v>
      </c>
      <c r="Z17" s="2" t="s">
        <v>24</v>
      </c>
      <c r="AA17" s="3">
        <v>44634</v>
      </c>
      <c r="AB17" s="3">
        <v>44740</v>
      </c>
      <c r="AC17" s="2">
        <f t="shared" si="2"/>
        <v>107</v>
      </c>
      <c r="AD17" s="2">
        <v>25</v>
      </c>
      <c r="AE17" s="2" t="s">
        <v>75</v>
      </c>
      <c r="AF17" s="2" t="str">
        <f t="shared" si="3"/>
        <v>Tidak ada</v>
      </c>
      <c r="AG17" s="2" t="s">
        <v>76</v>
      </c>
      <c r="AH17" s="2" t="str">
        <f t="shared" si="4"/>
        <v>Ada</v>
      </c>
    </row>
    <row r="18" spans="1:34" ht="39.5" x14ac:dyDescent="0.35">
      <c r="A18" s="2">
        <v>41</v>
      </c>
      <c r="B18" s="2" t="s">
        <v>77</v>
      </c>
      <c r="C18" s="2" t="str">
        <f>IF(ISNUMBER(SEARCH(LOWER([1]Sheet1!$C$1),LOWER(B18))),"Ya","Tidak")</f>
        <v>Tidak</v>
      </c>
      <c r="D18" s="2" t="str">
        <f>IF(ISNUMBER(SEARCH(LOWER([1]Sheet1!$D$1),LOWER(B18))),"Ya","Tidak")</f>
        <v>Ya</v>
      </c>
      <c r="E18" s="2" t="str">
        <f>IF(ISNUMBER(SEARCH(LOWER([1]Sheet1!$E$1),LOWER(B18))),"Ya","Tidak")</f>
        <v>Ya</v>
      </c>
      <c r="F18" s="2" t="str">
        <f>IF(ISNUMBER(SEARCH(LOWER([1]Sheet1!$F$1),LOWER(B18))),"Ya","Tidak")</f>
        <v>Ya</v>
      </c>
      <c r="G18" s="2" t="str">
        <f>IF(ISNUMBER(SEARCH(LOWER([1]Sheet1!$G$1),LOWER(B18))),"Ya","Tidak")</f>
        <v>Tidak</v>
      </c>
      <c r="H18" s="2" t="str">
        <f>IF(ISNUMBER(SEARCH(LOWER([1]Sheet1!$H$1),LOWER(B18))),"Ya","Tidak")</f>
        <v>Tidak</v>
      </c>
      <c r="I18" s="2" t="str">
        <f>IF(ISNUMBER(SEARCH(LOWER([1]Sheet1!$I$1),LOWER(B18))),"Ya","Tidak")</f>
        <v>Tidak</v>
      </c>
      <c r="J18" s="2" t="str">
        <f>IF(OR(ISNUMBER(SEARCH(LOWER([1]Sheet1!$J$1),LOWER(B18))), ISNUMBER(SEARCH("dm",LOWER(B18)))),"Ya","Tidak")</f>
        <v>Tidak</v>
      </c>
      <c r="K18" s="2" t="str">
        <f>IF(ISNUMBER(SEARCH(LOWER([1]Sheet1!$K$1),LOWER(B18))),"Ya","Tidak")</f>
        <v>Tidak</v>
      </c>
      <c r="L18" s="2" t="str">
        <f>IF(ISNUMBER(SEARCH(LOWER([1]Sheet1!$L$1),LOWER(B18))),"Ya","Tidak")</f>
        <v>Tidak</v>
      </c>
      <c r="M18" s="2" t="str">
        <f>IF(ISNUMBER(SEARCH(LOWER([1]Sheet1!$M$1),LOWER(B18))),"Ya","Tidak")</f>
        <v>Tidak</v>
      </c>
      <c r="N18" s="2" t="str">
        <f>IF(ISNUMBER(SEARCH(LOWER([1]Sheet1!$N$1),LOWER(B18))),"Ya","Tidak")</f>
        <v>Tidak</v>
      </c>
      <c r="O18" s="2" t="str">
        <f>IF(ISNUMBER(SEARCH(LOWER([1]Sheet1!$O$1),LOWER(B18))),"Ya","Tidak")</f>
        <v>Tidak</v>
      </c>
      <c r="P18" s="2" t="str">
        <f>IF(ISNUMBER(SEARCH(LOWER([1]Sheet1!$P$1),LOWER(B18))),"Ya","Tidak")</f>
        <v>Tidak</v>
      </c>
      <c r="Q18" s="2" t="str">
        <f>IF(ISNUMBER(SEARCH(LOWER([1]Sheet1!$Q$1),LOWER(B18))),"Ya","Tidak")</f>
        <v>Tidak</v>
      </c>
      <c r="R18" s="2" t="str">
        <f>IF(ISNUMBER(SEARCH(LOWER([1]Sheet1!$R$1),LOWER(B18))),"Ya","Tidak")</f>
        <v>Tidak</v>
      </c>
      <c r="S18" s="3" t="s">
        <v>78</v>
      </c>
      <c r="T18" s="2" t="str">
        <f t="shared" si="0"/>
        <v>IIB</v>
      </c>
      <c r="U18" s="2" t="str">
        <f t="shared" si="5"/>
        <v>Tidak ada metastasis KGB Regional</v>
      </c>
      <c r="V18" s="2" t="s">
        <v>79</v>
      </c>
      <c r="W18" s="4" t="s">
        <v>80</v>
      </c>
      <c r="X18" s="2" t="s">
        <v>12</v>
      </c>
      <c r="Y18" s="2" t="str">
        <f t="shared" si="1"/>
        <v>&gt;5cm</v>
      </c>
      <c r="Z18" s="2" t="s">
        <v>24</v>
      </c>
      <c r="AA18" s="3">
        <v>44735</v>
      </c>
      <c r="AB18" s="3">
        <v>44840</v>
      </c>
      <c r="AC18" s="2">
        <f t="shared" si="2"/>
        <v>106</v>
      </c>
      <c r="AD18" s="2">
        <v>25</v>
      </c>
      <c r="AE18" s="2" t="s">
        <v>81</v>
      </c>
      <c r="AF18" s="2" t="str">
        <f t="shared" si="3"/>
        <v>Tidak ada</v>
      </c>
      <c r="AG18" s="2" t="s">
        <v>82</v>
      </c>
      <c r="AH18" s="2" t="str">
        <f t="shared" si="4"/>
        <v>Tidak ada</v>
      </c>
    </row>
    <row r="19" spans="1:34" ht="39.5" x14ac:dyDescent="0.35">
      <c r="A19" s="2">
        <v>66</v>
      </c>
      <c r="B19" s="2"/>
      <c r="C19" s="2" t="str">
        <f>IF(ISNUMBER(SEARCH(LOWER([1]Sheet1!$C$1),LOWER(B19))),"Ya","Tidak")</f>
        <v>Tidak</v>
      </c>
      <c r="D19" s="2" t="str">
        <f>IF(ISNUMBER(SEARCH(LOWER([1]Sheet1!$D$1),LOWER(B19))),"Ya","Tidak")</f>
        <v>Tidak</v>
      </c>
      <c r="E19" s="2" t="str">
        <f>IF(ISNUMBER(SEARCH(LOWER([1]Sheet1!$E$1),LOWER(B19))),"Ya","Tidak")</f>
        <v>Tidak</v>
      </c>
      <c r="F19" s="2" t="str">
        <f>IF(ISNUMBER(SEARCH(LOWER([1]Sheet1!$F$1),LOWER(B19))),"Ya","Tidak")</f>
        <v>Tidak</v>
      </c>
      <c r="G19" s="2" t="str">
        <f>IF(ISNUMBER(SEARCH(LOWER([1]Sheet1!$G$1),LOWER(B19))),"Ya","Tidak")</f>
        <v>Tidak</v>
      </c>
      <c r="H19" s="2" t="str">
        <f>IF(ISNUMBER(SEARCH(LOWER([1]Sheet1!$H$1),LOWER(B19))),"Ya","Tidak")</f>
        <v>Tidak</v>
      </c>
      <c r="I19" s="2" t="str">
        <f>IF(ISNUMBER(SEARCH(LOWER([1]Sheet1!$I$1),LOWER(B19))),"Ya","Tidak")</f>
        <v>Tidak</v>
      </c>
      <c r="J19" s="2" t="str">
        <f>IF(OR(ISNUMBER(SEARCH(LOWER([1]Sheet1!$J$1),LOWER(B19))), ISNUMBER(SEARCH("dm",LOWER(B19)))),"Ya","Tidak")</f>
        <v>Tidak</v>
      </c>
      <c r="K19" s="2" t="str">
        <f>IF(ISNUMBER(SEARCH(LOWER([1]Sheet1!$K$1),LOWER(B19))),"Ya","Tidak")</f>
        <v>Tidak</v>
      </c>
      <c r="L19" s="2" t="str">
        <f>IF(ISNUMBER(SEARCH(LOWER([1]Sheet1!$L$1),LOWER(B19))),"Ya","Tidak")</f>
        <v>Tidak</v>
      </c>
      <c r="M19" s="2" t="str">
        <f>IF(ISNUMBER(SEARCH(LOWER([1]Sheet1!$M$1),LOWER(B19))),"Ya","Tidak")</f>
        <v>Tidak</v>
      </c>
      <c r="N19" s="2" t="str">
        <f>IF(ISNUMBER(SEARCH(LOWER([1]Sheet1!$N$1),LOWER(B19))),"Ya","Tidak")</f>
        <v>Tidak</v>
      </c>
      <c r="O19" s="2" t="str">
        <f>IF(ISNUMBER(SEARCH(LOWER([1]Sheet1!$O$1),LOWER(B19))),"Ya","Tidak")</f>
        <v>Tidak</v>
      </c>
      <c r="P19" s="2" t="str">
        <f>IF(ISNUMBER(SEARCH(LOWER([1]Sheet1!$P$1),LOWER(B19))),"Ya","Tidak")</f>
        <v>Tidak</v>
      </c>
      <c r="Q19" s="2" t="str">
        <f>IF(ISNUMBER(SEARCH(LOWER([1]Sheet1!$Q$1),LOWER(B19))),"Ya","Tidak")</f>
        <v>Tidak</v>
      </c>
      <c r="R19" s="2" t="str">
        <f>IF(ISNUMBER(SEARCH(LOWER([1]Sheet1!$R$1),LOWER(B19))),"Ya","Tidak")</f>
        <v>Tidak</v>
      </c>
      <c r="S19" s="3" t="s">
        <v>9</v>
      </c>
      <c r="T19" s="2" t="str">
        <f t="shared" si="0"/>
        <v>IIIA</v>
      </c>
      <c r="U19" s="2" t="str">
        <f t="shared" si="5"/>
        <v>Metastasis pada KGB aksila ipsilateral</v>
      </c>
      <c r="V19" s="2" t="s">
        <v>83</v>
      </c>
      <c r="W19" s="4" t="s">
        <v>84</v>
      </c>
      <c r="X19" s="2" t="s">
        <v>17</v>
      </c>
      <c r="Y19" s="2" t="str">
        <f t="shared" si="1"/>
        <v>&gt;2 cm - &lt;5cm</v>
      </c>
      <c r="Z19" s="2" t="s">
        <v>24</v>
      </c>
      <c r="AA19" s="3">
        <v>44754</v>
      </c>
      <c r="AB19" s="3">
        <v>44852</v>
      </c>
      <c r="AC19" s="2">
        <f t="shared" si="2"/>
        <v>99</v>
      </c>
      <c r="AD19" s="2">
        <v>25</v>
      </c>
      <c r="AE19" s="2" t="s">
        <v>85</v>
      </c>
      <c r="AF19" s="2" t="str">
        <f t="shared" si="3"/>
        <v>Tidak ada</v>
      </c>
      <c r="AG19" s="2" t="s">
        <v>86</v>
      </c>
      <c r="AH19" s="2" t="str">
        <f t="shared" si="4"/>
        <v>Ada</v>
      </c>
    </row>
    <row r="20" spans="1:34" ht="39.5" x14ac:dyDescent="0.35">
      <c r="A20" s="2">
        <v>43</v>
      </c>
      <c r="B20" s="2"/>
      <c r="C20" s="2" t="str">
        <f>IF(ISNUMBER(SEARCH(LOWER([1]Sheet1!$C$1),LOWER(B20))),"Ya","Tidak")</f>
        <v>Tidak</v>
      </c>
      <c r="D20" s="2" t="str">
        <f>IF(ISNUMBER(SEARCH(LOWER([1]Sheet1!$D$1),LOWER(B20))),"Ya","Tidak")</f>
        <v>Tidak</v>
      </c>
      <c r="E20" s="2" t="str">
        <f>IF(ISNUMBER(SEARCH(LOWER([1]Sheet1!$E$1),LOWER(B20))),"Ya","Tidak")</f>
        <v>Tidak</v>
      </c>
      <c r="F20" s="2" t="str">
        <f>IF(ISNUMBER(SEARCH(LOWER([1]Sheet1!$F$1),LOWER(B20))),"Ya","Tidak")</f>
        <v>Tidak</v>
      </c>
      <c r="G20" s="2" t="str">
        <f>IF(ISNUMBER(SEARCH(LOWER([1]Sheet1!$G$1),LOWER(B20))),"Ya","Tidak")</f>
        <v>Tidak</v>
      </c>
      <c r="H20" s="2" t="str">
        <f>IF(ISNUMBER(SEARCH(LOWER([1]Sheet1!$H$1),LOWER(B20))),"Ya","Tidak")</f>
        <v>Tidak</v>
      </c>
      <c r="I20" s="2" t="str">
        <f>IF(ISNUMBER(SEARCH(LOWER([1]Sheet1!$I$1),LOWER(B20))),"Ya","Tidak")</f>
        <v>Tidak</v>
      </c>
      <c r="J20" s="2" t="str">
        <f>IF(OR(ISNUMBER(SEARCH(LOWER([1]Sheet1!$J$1),LOWER(B20))), ISNUMBER(SEARCH("dm",LOWER(B20)))),"Ya","Tidak")</f>
        <v>Tidak</v>
      </c>
      <c r="K20" s="2" t="str">
        <f>IF(ISNUMBER(SEARCH(LOWER([1]Sheet1!$K$1),LOWER(B20))),"Ya","Tidak")</f>
        <v>Tidak</v>
      </c>
      <c r="L20" s="2" t="str">
        <f>IF(ISNUMBER(SEARCH(LOWER([1]Sheet1!$L$1),LOWER(B20))),"Ya","Tidak")</f>
        <v>Tidak</v>
      </c>
      <c r="M20" s="2" t="str">
        <f>IF(ISNUMBER(SEARCH(LOWER([1]Sheet1!$M$1),LOWER(B20))),"Ya","Tidak")</f>
        <v>Tidak</v>
      </c>
      <c r="N20" s="2" t="str">
        <f>IF(ISNUMBER(SEARCH(LOWER([1]Sheet1!$N$1),LOWER(B20))),"Ya","Tidak")</f>
        <v>Tidak</v>
      </c>
      <c r="O20" s="2" t="str">
        <f>IF(ISNUMBER(SEARCH(LOWER([1]Sheet1!$O$1),LOWER(B20))),"Ya","Tidak")</f>
        <v>Tidak</v>
      </c>
      <c r="P20" s="2" t="str">
        <f>IF(ISNUMBER(SEARCH(LOWER([1]Sheet1!$P$1),LOWER(B20))),"Ya","Tidak")</f>
        <v>Tidak</v>
      </c>
      <c r="Q20" s="2" t="str">
        <f>IF(ISNUMBER(SEARCH(LOWER([1]Sheet1!$Q$1),LOWER(B20))),"Ya","Tidak")</f>
        <v>Tidak</v>
      </c>
      <c r="R20" s="2" t="str">
        <f>IF(ISNUMBER(SEARCH(LOWER([1]Sheet1!$R$1),LOWER(B20))),"Ya","Tidak")</f>
        <v>Tidak</v>
      </c>
      <c r="S20" s="3" t="s">
        <v>9</v>
      </c>
      <c r="T20" s="2" t="str">
        <f t="shared" si="0"/>
        <v>IIIA</v>
      </c>
      <c r="U20" s="2" t="str">
        <f t="shared" si="5"/>
        <v>Metastasis pada KGB aksila ipsilateral</v>
      </c>
      <c r="V20" s="2" t="s">
        <v>83</v>
      </c>
      <c r="W20" s="4" t="s">
        <v>80</v>
      </c>
      <c r="X20" s="2" t="s">
        <v>17</v>
      </c>
      <c r="Y20" s="2" t="str">
        <f t="shared" si="1"/>
        <v>&gt;2 cm - &lt;5cm</v>
      </c>
      <c r="Z20" s="2" t="s">
        <v>5</v>
      </c>
      <c r="AA20" s="3">
        <v>44725</v>
      </c>
      <c r="AB20" s="3">
        <v>44838</v>
      </c>
      <c r="AC20" s="2">
        <f t="shared" si="2"/>
        <v>114</v>
      </c>
      <c r="AD20" s="2">
        <v>25</v>
      </c>
      <c r="AE20" s="2"/>
      <c r="AF20" s="2" t="str">
        <f t="shared" si="3"/>
        <v>Tidak ada</v>
      </c>
      <c r="AG20" s="2" t="s">
        <v>87</v>
      </c>
      <c r="AH20" s="2" t="str">
        <f t="shared" si="4"/>
        <v>Tidak ada</v>
      </c>
    </row>
    <row r="21" spans="1:34" ht="39.5" x14ac:dyDescent="0.35">
      <c r="A21" s="2">
        <v>44</v>
      </c>
      <c r="B21" s="2"/>
      <c r="C21" s="2" t="str">
        <f>IF(ISNUMBER(SEARCH(LOWER([1]Sheet1!$C$1),LOWER(B21))),"Ya","Tidak")</f>
        <v>Tidak</v>
      </c>
      <c r="D21" s="2" t="str">
        <f>IF(ISNUMBER(SEARCH(LOWER([1]Sheet1!$D$1),LOWER(B21))),"Ya","Tidak")</f>
        <v>Tidak</v>
      </c>
      <c r="E21" s="2" t="str">
        <f>IF(ISNUMBER(SEARCH(LOWER([1]Sheet1!$E$1),LOWER(B21))),"Ya","Tidak")</f>
        <v>Tidak</v>
      </c>
      <c r="F21" s="2" t="str">
        <f>IF(ISNUMBER(SEARCH(LOWER([1]Sheet1!$F$1),LOWER(B21))),"Ya","Tidak")</f>
        <v>Tidak</v>
      </c>
      <c r="G21" s="2" t="str">
        <f>IF(ISNUMBER(SEARCH(LOWER([1]Sheet1!$G$1),LOWER(B21))),"Ya","Tidak")</f>
        <v>Tidak</v>
      </c>
      <c r="H21" s="2" t="str">
        <f>IF(ISNUMBER(SEARCH(LOWER([1]Sheet1!$H$1),LOWER(B21))),"Ya","Tidak")</f>
        <v>Tidak</v>
      </c>
      <c r="I21" s="2" t="str">
        <f>IF(ISNUMBER(SEARCH(LOWER([1]Sheet1!$I$1),LOWER(B21))),"Ya","Tidak")</f>
        <v>Tidak</v>
      </c>
      <c r="J21" s="2" t="str">
        <f>IF(OR(ISNUMBER(SEARCH(LOWER([1]Sheet1!$J$1),LOWER(B21))), ISNUMBER(SEARCH("dm",LOWER(B21)))),"Ya","Tidak")</f>
        <v>Tidak</v>
      </c>
      <c r="K21" s="2" t="str">
        <f>IF(ISNUMBER(SEARCH(LOWER([1]Sheet1!$K$1),LOWER(B21))),"Ya","Tidak")</f>
        <v>Tidak</v>
      </c>
      <c r="L21" s="2" t="str">
        <f>IF(ISNUMBER(SEARCH(LOWER([1]Sheet1!$L$1),LOWER(B21))),"Ya","Tidak")</f>
        <v>Tidak</v>
      </c>
      <c r="M21" s="2" t="str">
        <f>IF(ISNUMBER(SEARCH(LOWER([1]Sheet1!$M$1),LOWER(B21))),"Ya","Tidak")</f>
        <v>Tidak</v>
      </c>
      <c r="N21" s="2" t="str">
        <f>IF(ISNUMBER(SEARCH(LOWER([1]Sheet1!$N$1),LOWER(B21))),"Ya","Tidak")</f>
        <v>Tidak</v>
      </c>
      <c r="O21" s="2" t="str">
        <f>IF(ISNUMBER(SEARCH(LOWER([1]Sheet1!$O$1),LOWER(B21))),"Ya","Tidak")</f>
        <v>Tidak</v>
      </c>
      <c r="P21" s="2" t="str">
        <f>IF(ISNUMBER(SEARCH(LOWER([1]Sheet1!$P$1),LOWER(B21))),"Ya","Tidak")</f>
        <v>Tidak</v>
      </c>
      <c r="Q21" s="2" t="str">
        <f>IF(ISNUMBER(SEARCH(LOWER([1]Sheet1!$Q$1),LOWER(B21))),"Ya","Tidak")</f>
        <v>Tidak</v>
      </c>
      <c r="R21" s="2" t="str">
        <f>IF(ISNUMBER(SEARCH(LOWER([1]Sheet1!$R$1),LOWER(B21))),"Ya","Tidak")</f>
        <v>Tidak</v>
      </c>
      <c r="S21" s="3" t="s">
        <v>88</v>
      </c>
      <c r="T21" s="2" t="str">
        <f t="shared" si="0"/>
        <v>IIIB</v>
      </c>
      <c r="U21" s="2" t="str">
        <f t="shared" si="5"/>
        <v>Metastasis pada KGB aksila ipsilateral</v>
      </c>
      <c r="V21" s="2" t="s">
        <v>89</v>
      </c>
      <c r="W21" s="4" t="s">
        <v>90</v>
      </c>
      <c r="X21" s="2" t="s">
        <v>4</v>
      </c>
      <c r="Y21" s="2" t="str">
        <f t="shared" si="1"/>
        <v>&gt;5 cm dengan eksistensi langsung ke dinding dada/kulit</v>
      </c>
      <c r="Z21" s="2" t="s">
        <v>5</v>
      </c>
      <c r="AA21" s="3">
        <v>44721</v>
      </c>
      <c r="AB21" s="3">
        <v>44868</v>
      </c>
      <c r="AC21" s="2">
        <f t="shared" si="2"/>
        <v>148</v>
      </c>
      <c r="AD21" s="2">
        <v>25</v>
      </c>
      <c r="AE21" s="2" t="s">
        <v>91</v>
      </c>
      <c r="AF21" s="2" t="str">
        <f t="shared" si="3"/>
        <v>Tidak ada</v>
      </c>
      <c r="AG21" s="2" t="s">
        <v>92</v>
      </c>
      <c r="AH21" s="2" t="str">
        <f t="shared" si="4"/>
        <v>Tidak ada</v>
      </c>
    </row>
    <row r="22" spans="1:34" ht="39.5" x14ac:dyDescent="0.35">
      <c r="A22" s="2">
        <v>60</v>
      </c>
      <c r="B22" s="2" t="s">
        <v>93</v>
      </c>
      <c r="C22" s="2" t="str">
        <f>IF(ISNUMBER(SEARCH(LOWER([1]Sheet1!$C$1),LOWER(B22))),"Ya","Tidak")</f>
        <v>Ya</v>
      </c>
      <c r="D22" s="2" t="str">
        <f>IF(ISNUMBER(SEARCH(LOWER([1]Sheet1!$D$1),LOWER(B22))),"Ya","Tidak")</f>
        <v>Tidak</v>
      </c>
      <c r="E22" s="2" t="str">
        <f>IF(ISNUMBER(SEARCH(LOWER([1]Sheet1!$E$1),LOWER(B22))),"Ya","Tidak")</f>
        <v>Tidak</v>
      </c>
      <c r="F22" s="2" t="str">
        <f>IF(ISNUMBER(SEARCH(LOWER([1]Sheet1!$F$1),LOWER(B22))),"Ya","Tidak")</f>
        <v>Tidak</v>
      </c>
      <c r="G22" s="2" t="str">
        <f>IF(ISNUMBER(SEARCH(LOWER([1]Sheet1!$G$1),LOWER(B22))),"Ya","Tidak")</f>
        <v>Tidak</v>
      </c>
      <c r="H22" s="2" t="str">
        <f>IF(ISNUMBER(SEARCH(LOWER([1]Sheet1!$H$1),LOWER(B22))),"Ya","Tidak")</f>
        <v>Tidak</v>
      </c>
      <c r="I22" s="2" t="str">
        <f>IF(ISNUMBER(SEARCH(LOWER([1]Sheet1!$I$1),LOWER(B22))),"Ya","Tidak")</f>
        <v>Tidak</v>
      </c>
      <c r="J22" s="2" t="str">
        <f>IF(OR(ISNUMBER(SEARCH(LOWER([1]Sheet1!$J$1),LOWER(B22))), ISNUMBER(SEARCH("dm",LOWER(B22)))),"Ya","Tidak")</f>
        <v>Tidak</v>
      </c>
      <c r="K22" s="2" t="str">
        <f>IF(ISNUMBER(SEARCH(LOWER([1]Sheet1!$K$1),LOWER(B22))),"Ya","Tidak")</f>
        <v>Tidak</v>
      </c>
      <c r="L22" s="2" t="str">
        <f>IF(ISNUMBER(SEARCH(LOWER([1]Sheet1!$L$1),LOWER(B22))),"Ya","Tidak")</f>
        <v>Ya</v>
      </c>
      <c r="M22" s="2" t="str">
        <f>IF(ISNUMBER(SEARCH(LOWER([1]Sheet1!$M$1),LOWER(B22))),"Ya","Tidak")</f>
        <v>Tidak</v>
      </c>
      <c r="N22" s="2" t="str">
        <f>IF(ISNUMBER(SEARCH(LOWER([1]Sheet1!$N$1),LOWER(B22))),"Ya","Tidak")</f>
        <v>Tidak</v>
      </c>
      <c r="O22" s="2" t="str">
        <f>IF(ISNUMBER(SEARCH(LOWER([1]Sheet1!$O$1),LOWER(B22))),"Ya","Tidak")</f>
        <v>Tidak</v>
      </c>
      <c r="P22" s="2" t="str">
        <f>IF(ISNUMBER(SEARCH(LOWER([1]Sheet1!$P$1),LOWER(B22))),"Ya","Tidak")</f>
        <v>Tidak</v>
      </c>
      <c r="Q22" s="2" t="str">
        <f>IF(ISNUMBER(SEARCH(LOWER([1]Sheet1!$Q$1),LOWER(B22))),"Ya","Tidak")</f>
        <v>Tidak</v>
      </c>
      <c r="R22" s="2" t="str">
        <f>IF(ISNUMBER(SEARCH(LOWER([1]Sheet1!$R$1),LOWER(B22))),"Ya","Tidak")</f>
        <v>Tidak</v>
      </c>
      <c r="S22" s="3" t="s">
        <v>94</v>
      </c>
      <c r="T22" s="2" t="str">
        <f t="shared" si="0"/>
        <v>IIIC</v>
      </c>
      <c r="U22" s="2" t="str">
        <f t="shared" si="5"/>
        <v>Metastasis pada KGB infraklavikula ipsilateral</v>
      </c>
      <c r="V22" s="2" t="s">
        <v>95</v>
      </c>
      <c r="W22" s="4" t="s">
        <v>96</v>
      </c>
      <c r="X22" s="2" t="s">
        <v>4</v>
      </c>
      <c r="Y22" s="2" t="str">
        <f t="shared" si="1"/>
        <v>&gt;5 cm dengan eksistensi langsung ke dinding dada/kulit</v>
      </c>
      <c r="Z22" s="2" t="s">
        <v>5</v>
      </c>
      <c r="AA22" s="3">
        <v>44721</v>
      </c>
      <c r="AB22" s="3">
        <v>44868</v>
      </c>
      <c r="AC22" s="2">
        <f t="shared" si="2"/>
        <v>148</v>
      </c>
      <c r="AD22" s="2">
        <v>25</v>
      </c>
      <c r="AE22" s="2" t="s">
        <v>97</v>
      </c>
      <c r="AF22" s="2" t="str">
        <f t="shared" si="3"/>
        <v>Tidak ada</v>
      </c>
      <c r="AG22" s="2" t="s">
        <v>98</v>
      </c>
      <c r="AH22" s="2" t="str">
        <f t="shared" si="4"/>
        <v>Tidak ada</v>
      </c>
    </row>
    <row r="23" spans="1:34" ht="39.5" x14ac:dyDescent="0.35">
      <c r="A23" s="2">
        <v>63</v>
      </c>
      <c r="B23" s="2"/>
      <c r="C23" s="2" t="str">
        <f>IF(ISNUMBER(SEARCH(LOWER([1]Sheet1!$C$1),LOWER(B23))),"Ya","Tidak")</f>
        <v>Tidak</v>
      </c>
      <c r="D23" s="2" t="str">
        <f>IF(ISNUMBER(SEARCH(LOWER([1]Sheet1!$D$1),LOWER(B23))),"Ya","Tidak")</f>
        <v>Tidak</v>
      </c>
      <c r="E23" s="2" t="str">
        <f>IF(ISNUMBER(SEARCH(LOWER([1]Sheet1!$E$1),LOWER(B23))),"Ya","Tidak")</f>
        <v>Tidak</v>
      </c>
      <c r="F23" s="2" t="str">
        <f>IF(ISNUMBER(SEARCH(LOWER([1]Sheet1!$F$1),LOWER(B23))),"Ya","Tidak")</f>
        <v>Tidak</v>
      </c>
      <c r="G23" s="2" t="str">
        <f>IF(ISNUMBER(SEARCH(LOWER([1]Sheet1!$G$1),LOWER(B23))),"Ya","Tidak")</f>
        <v>Tidak</v>
      </c>
      <c r="H23" s="2" t="str">
        <f>IF(ISNUMBER(SEARCH(LOWER([1]Sheet1!$H$1),LOWER(B23))),"Ya","Tidak")</f>
        <v>Tidak</v>
      </c>
      <c r="I23" s="2" t="str">
        <f>IF(ISNUMBER(SEARCH(LOWER([1]Sheet1!$I$1),LOWER(B23))),"Ya","Tidak")</f>
        <v>Tidak</v>
      </c>
      <c r="J23" s="2" t="str">
        <f>IF(OR(ISNUMBER(SEARCH(LOWER([1]Sheet1!$J$1),LOWER(B23))), ISNUMBER(SEARCH("dm",LOWER(B23)))),"Ya","Tidak")</f>
        <v>Tidak</v>
      </c>
      <c r="K23" s="2" t="str">
        <f>IF(ISNUMBER(SEARCH(LOWER([1]Sheet1!$K$1),LOWER(B23))),"Ya","Tidak")</f>
        <v>Tidak</v>
      </c>
      <c r="L23" s="2" t="str">
        <f>IF(ISNUMBER(SEARCH(LOWER([1]Sheet1!$L$1),LOWER(B23))),"Ya","Tidak")</f>
        <v>Tidak</v>
      </c>
      <c r="M23" s="2" t="str">
        <f>IF(ISNUMBER(SEARCH(LOWER([1]Sheet1!$M$1),LOWER(B23))),"Ya","Tidak")</f>
        <v>Tidak</v>
      </c>
      <c r="N23" s="2" t="str">
        <f>IF(ISNUMBER(SEARCH(LOWER([1]Sheet1!$N$1),LOWER(B23))),"Ya","Tidak")</f>
        <v>Tidak</v>
      </c>
      <c r="O23" s="2" t="str">
        <f>IF(ISNUMBER(SEARCH(LOWER([1]Sheet1!$O$1),LOWER(B23))),"Ya","Tidak")</f>
        <v>Tidak</v>
      </c>
      <c r="P23" s="2" t="str">
        <f>IF(ISNUMBER(SEARCH(LOWER([1]Sheet1!$P$1),LOWER(B23))),"Ya","Tidak")</f>
        <v>Tidak</v>
      </c>
      <c r="Q23" s="2" t="str">
        <f>IF(ISNUMBER(SEARCH(LOWER([1]Sheet1!$Q$1),LOWER(B23))),"Ya","Tidak")</f>
        <v>Tidak</v>
      </c>
      <c r="R23" s="2" t="str">
        <f>IF(ISNUMBER(SEARCH(LOWER([1]Sheet1!$R$1),LOWER(B23))),"Ya","Tidak")</f>
        <v>Tidak</v>
      </c>
      <c r="S23" s="3" t="s">
        <v>99</v>
      </c>
      <c r="T23" s="2" t="str">
        <f t="shared" si="0"/>
        <v>IIIA</v>
      </c>
      <c r="U23" s="2" t="str">
        <f t="shared" si="5"/>
        <v>Tidak ada metastasis KGB Regional</v>
      </c>
      <c r="V23" s="2" t="s">
        <v>100</v>
      </c>
      <c r="W23" s="4" t="s">
        <v>3</v>
      </c>
      <c r="X23" s="2" t="s">
        <v>4</v>
      </c>
      <c r="Y23" s="2" t="str">
        <f t="shared" si="1"/>
        <v>&gt;5 cm dengan eksistensi langsung ke dinding dada/kulit</v>
      </c>
      <c r="Z23" s="2" t="s">
        <v>5</v>
      </c>
      <c r="AA23" s="3">
        <v>44750</v>
      </c>
      <c r="AB23" s="3">
        <v>44855</v>
      </c>
      <c r="AC23" s="2">
        <f t="shared" si="2"/>
        <v>106</v>
      </c>
      <c r="AD23" s="2">
        <v>30</v>
      </c>
      <c r="AE23" s="2"/>
      <c r="AF23" s="2" t="str">
        <f t="shared" si="3"/>
        <v>Tidak ada</v>
      </c>
      <c r="AG23" s="2" t="s">
        <v>101</v>
      </c>
      <c r="AH23" s="2" t="str">
        <f t="shared" si="4"/>
        <v>Tidak ada</v>
      </c>
    </row>
    <row r="24" spans="1:34" ht="39.5" x14ac:dyDescent="0.35">
      <c r="A24" s="2">
        <v>55</v>
      </c>
      <c r="B24" s="2"/>
      <c r="C24" s="2" t="str">
        <f>IF(ISNUMBER(SEARCH(LOWER([1]Sheet1!$C$1),LOWER(B24))),"Ya","Tidak")</f>
        <v>Tidak</v>
      </c>
      <c r="D24" s="2" t="str">
        <f>IF(ISNUMBER(SEARCH(LOWER([1]Sheet1!$D$1),LOWER(B24))),"Ya","Tidak")</f>
        <v>Tidak</v>
      </c>
      <c r="E24" s="2" t="str">
        <f>IF(ISNUMBER(SEARCH(LOWER([1]Sheet1!$E$1),LOWER(B24))),"Ya","Tidak")</f>
        <v>Tidak</v>
      </c>
      <c r="F24" s="2" t="str">
        <f>IF(ISNUMBER(SEARCH(LOWER([1]Sheet1!$F$1),LOWER(B24))),"Ya","Tidak")</f>
        <v>Tidak</v>
      </c>
      <c r="G24" s="2" t="str">
        <f>IF(ISNUMBER(SEARCH(LOWER([1]Sheet1!$G$1),LOWER(B24))),"Ya","Tidak")</f>
        <v>Tidak</v>
      </c>
      <c r="H24" s="2" t="str">
        <f>IF(ISNUMBER(SEARCH(LOWER([1]Sheet1!$H$1),LOWER(B24))),"Ya","Tidak")</f>
        <v>Tidak</v>
      </c>
      <c r="I24" s="2" t="str">
        <f>IF(ISNUMBER(SEARCH(LOWER([1]Sheet1!$I$1),LOWER(B24))),"Ya","Tidak")</f>
        <v>Tidak</v>
      </c>
      <c r="J24" s="2" t="str">
        <f>IF(OR(ISNUMBER(SEARCH(LOWER([1]Sheet1!$J$1),LOWER(B24))), ISNUMBER(SEARCH("dm",LOWER(B24)))),"Ya","Tidak")</f>
        <v>Tidak</v>
      </c>
      <c r="K24" s="2" t="str">
        <f>IF(ISNUMBER(SEARCH(LOWER([1]Sheet1!$K$1),LOWER(B24))),"Ya","Tidak")</f>
        <v>Tidak</v>
      </c>
      <c r="L24" s="2" t="str">
        <f>IF(ISNUMBER(SEARCH(LOWER([1]Sheet1!$L$1),LOWER(B24))),"Ya","Tidak")</f>
        <v>Tidak</v>
      </c>
      <c r="M24" s="2" t="str">
        <f>IF(ISNUMBER(SEARCH(LOWER([1]Sheet1!$M$1),LOWER(B24))),"Ya","Tidak")</f>
        <v>Tidak</v>
      </c>
      <c r="N24" s="2" t="str">
        <f>IF(ISNUMBER(SEARCH(LOWER([1]Sheet1!$N$1),LOWER(B24))),"Ya","Tidak")</f>
        <v>Tidak</v>
      </c>
      <c r="O24" s="2" t="str">
        <f>IF(ISNUMBER(SEARCH(LOWER([1]Sheet1!$O$1),LOWER(B24))),"Ya","Tidak")</f>
        <v>Tidak</v>
      </c>
      <c r="P24" s="2" t="str">
        <f>IF(ISNUMBER(SEARCH(LOWER([1]Sheet1!$P$1),LOWER(B24))),"Ya","Tidak")</f>
        <v>Tidak</v>
      </c>
      <c r="Q24" s="2" t="str">
        <f>IF(ISNUMBER(SEARCH(LOWER([1]Sheet1!$Q$1),LOWER(B24))),"Ya","Tidak")</f>
        <v>Tidak</v>
      </c>
      <c r="R24" s="2" t="str">
        <f>IF(ISNUMBER(SEARCH(LOWER([1]Sheet1!$R$1),LOWER(B24))),"Ya","Tidak")</f>
        <v>Tidak</v>
      </c>
      <c r="S24" s="3" t="s">
        <v>9</v>
      </c>
      <c r="T24" s="2" t="str">
        <f t="shared" si="0"/>
        <v>IIIA</v>
      </c>
      <c r="U24" s="2" t="str">
        <f t="shared" si="5"/>
        <v>Metastasis pada KGB aksila ipsilateral</v>
      </c>
      <c r="V24" s="2" t="s">
        <v>102</v>
      </c>
      <c r="W24" s="4" t="s">
        <v>103</v>
      </c>
      <c r="X24" s="2" t="s">
        <v>12</v>
      </c>
      <c r="Y24" s="2" t="str">
        <f t="shared" si="1"/>
        <v>&gt;5cm</v>
      </c>
      <c r="Z24" s="2" t="s">
        <v>5</v>
      </c>
      <c r="AA24" s="3">
        <v>44816</v>
      </c>
      <c r="AB24" s="3">
        <v>44938</v>
      </c>
      <c r="AC24" s="2">
        <f t="shared" si="2"/>
        <v>123</v>
      </c>
      <c r="AD24" s="2">
        <v>10</v>
      </c>
      <c r="AE24" s="2" t="s">
        <v>104</v>
      </c>
      <c r="AF24" s="2" t="str">
        <f t="shared" si="3"/>
        <v>Tidak ada</v>
      </c>
      <c r="AG24" s="2"/>
      <c r="AH24" s="2" t="str">
        <f t="shared" si="4"/>
        <v>Tidak ada</v>
      </c>
    </row>
    <row r="25" spans="1:34" ht="39.5" x14ac:dyDescent="0.35">
      <c r="A25" s="2">
        <v>36</v>
      </c>
      <c r="B25" s="2"/>
      <c r="C25" s="2" t="str">
        <f>IF(ISNUMBER(SEARCH(LOWER([1]Sheet1!$C$1),LOWER(B25))),"Ya","Tidak")</f>
        <v>Tidak</v>
      </c>
      <c r="D25" s="2" t="str">
        <f>IF(ISNUMBER(SEARCH(LOWER([1]Sheet1!$D$1),LOWER(B25))),"Ya","Tidak")</f>
        <v>Tidak</v>
      </c>
      <c r="E25" s="2" t="str">
        <f>IF(ISNUMBER(SEARCH(LOWER([1]Sheet1!$E$1),LOWER(B25))),"Ya","Tidak")</f>
        <v>Tidak</v>
      </c>
      <c r="F25" s="2" t="str">
        <f>IF(ISNUMBER(SEARCH(LOWER([1]Sheet1!$F$1),LOWER(B25))),"Ya","Tidak")</f>
        <v>Tidak</v>
      </c>
      <c r="G25" s="2" t="str">
        <f>IF(ISNUMBER(SEARCH(LOWER([1]Sheet1!$G$1),LOWER(B25))),"Ya","Tidak")</f>
        <v>Tidak</v>
      </c>
      <c r="H25" s="2" t="str">
        <f>IF(ISNUMBER(SEARCH(LOWER([1]Sheet1!$H$1),LOWER(B25))),"Ya","Tidak")</f>
        <v>Tidak</v>
      </c>
      <c r="I25" s="2" t="str">
        <f>IF(ISNUMBER(SEARCH(LOWER([1]Sheet1!$I$1),LOWER(B25))),"Ya","Tidak")</f>
        <v>Tidak</v>
      </c>
      <c r="J25" s="2" t="str">
        <f>IF(OR(ISNUMBER(SEARCH(LOWER([1]Sheet1!$J$1),LOWER(B25))), ISNUMBER(SEARCH("dm",LOWER(B25)))),"Ya","Tidak")</f>
        <v>Tidak</v>
      </c>
      <c r="K25" s="2" t="str">
        <f>IF(ISNUMBER(SEARCH(LOWER([1]Sheet1!$K$1),LOWER(B25))),"Ya","Tidak")</f>
        <v>Tidak</v>
      </c>
      <c r="L25" s="2" t="str">
        <f>IF(ISNUMBER(SEARCH(LOWER([1]Sheet1!$L$1),LOWER(B25))),"Ya","Tidak")</f>
        <v>Tidak</v>
      </c>
      <c r="M25" s="2" t="str">
        <f>IF(ISNUMBER(SEARCH(LOWER([1]Sheet1!$M$1),LOWER(B25))),"Ya","Tidak")</f>
        <v>Tidak</v>
      </c>
      <c r="N25" s="2" t="str">
        <f>IF(ISNUMBER(SEARCH(LOWER([1]Sheet1!$N$1),LOWER(B25))),"Ya","Tidak")</f>
        <v>Tidak</v>
      </c>
      <c r="O25" s="2" t="str">
        <f>IF(ISNUMBER(SEARCH(LOWER([1]Sheet1!$O$1),LOWER(B25))),"Ya","Tidak")</f>
        <v>Tidak</v>
      </c>
      <c r="P25" s="2" t="str">
        <f>IF(ISNUMBER(SEARCH(LOWER([1]Sheet1!$P$1),LOWER(B25))),"Ya","Tidak")</f>
        <v>Tidak</v>
      </c>
      <c r="Q25" s="2" t="str">
        <f>IF(ISNUMBER(SEARCH(LOWER([1]Sheet1!$Q$1),LOWER(B25))),"Ya","Tidak")</f>
        <v>Tidak</v>
      </c>
      <c r="R25" s="2" t="str">
        <f>IF(ISNUMBER(SEARCH(LOWER([1]Sheet1!$R$1),LOWER(B25))),"Ya","Tidak")</f>
        <v>Tidak</v>
      </c>
      <c r="S25" s="3" t="s">
        <v>105</v>
      </c>
      <c r="T25" s="2" t="str">
        <f t="shared" si="0"/>
        <v>IIIB</v>
      </c>
      <c r="U25" s="2" t="str">
        <f t="shared" si="5"/>
        <v>Metastasis pada KGB aksila ipsilateral</v>
      </c>
      <c r="V25" s="2" t="s">
        <v>106</v>
      </c>
      <c r="W25" s="4" t="s">
        <v>3</v>
      </c>
      <c r="X25" s="2" t="s">
        <v>4</v>
      </c>
      <c r="Y25" s="2" t="str">
        <f t="shared" si="1"/>
        <v>&gt;5 cm dengan eksistensi langsung ke dinding dada/kulit</v>
      </c>
      <c r="Z25" s="2" t="s">
        <v>5</v>
      </c>
      <c r="AA25" s="3">
        <v>44725</v>
      </c>
      <c r="AB25" s="3">
        <v>44872</v>
      </c>
      <c r="AC25" s="2">
        <f t="shared" si="2"/>
        <v>148</v>
      </c>
      <c r="AD25" s="2">
        <v>25</v>
      </c>
      <c r="AE25" s="2" t="s">
        <v>107</v>
      </c>
      <c r="AF25" s="2" t="str">
        <f t="shared" si="3"/>
        <v>Tidak ada</v>
      </c>
      <c r="AG25" s="2" t="s">
        <v>108</v>
      </c>
      <c r="AH25" s="2" t="str">
        <f t="shared" si="4"/>
        <v>Ada</v>
      </c>
    </row>
    <row r="26" spans="1:34" ht="46.5" x14ac:dyDescent="0.35">
      <c r="A26" s="8">
        <v>44</v>
      </c>
      <c r="B26" s="2"/>
      <c r="C26" s="2" t="str">
        <f>IF(ISNUMBER(SEARCH(LOWER([1]Sheet1!$C$1),LOWER(B26))),"Ya","Tidak")</f>
        <v>Tidak</v>
      </c>
      <c r="D26" s="2" t="str">
        <f>IF(ISNUMBER(SEARCH(LOWER([1]Sheet1!$D$1),LOWER(B26))),"Ya","Tidak")</f>
        <v>Tidak</v>
      </c>
      <c r="E26" s="2" t="str">
        <f>IF(ISNUMBER(SEARCH(LOWER([1]Sheet1!$E$1),LOWER(B26))),"Ya","Tidak")</f>
        <v>Tidak</v>
      </c>
      <c r="F26" s="2" t="str">
        <f>IF(ISNUMBER(SEARCH(LOWER([1]Sheet1!$F$1),LOWER(B26))),"Ya","Tidak")</f>
        <v>Tidak</v>
      </c>
      <c r="G26" s="2" t="str">
        <f>IF(ISNUMBER(SEARCH(LOWER([1]Sheet1!$G$1),LOWER(B26))),"Ya","Tidak")</f>
        <v>Tidak</v>
      </c>
      <c r="H26" s="2" t="str">
        <f>IF(ISNUMBER(SEARCH(LOWER([1]Sheet1!$H$1),LOWER(B26))),"Ya","Tidak")</f>
        <v>Tidak</v>
      </c>
      <c r="I26" s="2" t="str">
        <f>IF(ISNUMBER(SEARCH(LOWER([1]Sheet1!$I$1),LOWER(B26))),"Ya","Tidak")</f>
        <v>Tidak</v>
      </c>
      <c r="J26" s="2" t="str">
        <f>IF(OR(ISNUMBER(SEARCH(LOWER([1]Sheet1!$J$1),LOWER(B26))), ISNUMBER(SEARCH("dm",LOWER(B26)))),"Ya","Tidak")</f>
        <v>Tidak</v>
      </c>
      <c r="K26" s="2" t="str">
        <f>IF(ISNUMBER(SEARCH(LOWER([1]Sheet1!$K$1),LOWER(B26))),"Ya","Tidak")</f>
        <v>Tidak</v>
      </c>
      <c r="L26" s="2" t="str">
        <f>IF(ISNUMBER(SEARCH(LOWER([1]Sheet1!$L$1),LOWER(B26))),"Ya","Tidak")</f>
        <v>Tidak</v>
      </c>
      <c r="M26" s="2" t="str">
        <f>IF(ISNUMBER(SEARCH(LOWER([1]Sheet1!$M$1),LOWER(B26))),"Ya","Tidak")</f>
        <v>Tidak</v>
      </c>
      <c r="N26" s="2" t="str">
        <f>IF(ISNUMBER(SEARCH(LOWER([1]Sheet1!$N$1),LOWER(B26))),"Ya","Tidak")</f>
        <v>Tidak</v>
      </c>
      <c r="O26" s="2" t="str">
        <f>IF(ISNUMBER(SEARCH(LOWER([1]Sheet1!$O$1),LOWER(B26))),"Ya","Tidak")</f>
        <v>Tidak</v>
      </c>
      <c r="P26" s="2" t="str">
        <f>IF(ISNUMBER(SEARCH(LOWER([1]Sheet1!$P$1),LOWER(B26))),"Ya","Tidak")</f>
        <v>Tidak</v>
      </c>
      <c r="Q26" s="2" t="str">
        <f>IF(ISNUMBER(SEARCH(LOWER([1]Sheet1!$Q$1),LOWER(B26))),"Ya","Tidak")</f>
        <v>Tidak</v>
      </c>
      <c r="R26" s="2" t="str">
        <f>IF(ISNUMBER(SEARCH(LOWER([1]Sheet1!$R$1),LOWER(B26))),"Ya","Tidak")</f>
        <v>Tidak</v>
      </c>
      <c r="S26" s="3" t="s">
        <v>105</v>
      </c>
      <c r="T26" s="2" t="str">
        <f t="shared" si="0"/>
        <v>IIIB</v>
      </c>
      <c r="U26" s="2" t="str">
        <f t="shared" si="5"/>
        <v>Metastasis pada KGB aksila ipsilateral</v>
      </c>
      <c r="V26" s="9" t="s">
        <v>109</v>
      </c>
      <c r="W26" s="10" t="s">
        <v>3</v>
      </c>
      <c r="X26" s="9" t="s">
        <v>4</v>
      </c>
      <c r="Y26" s="2" t="str">
        <f t="shared" si="1"/>
        <v>&gt;5 cm dengan eksistensi langsung ke dinding dada/kulit</v>
      </c>
      <c r="Z26" s="2" t="s">
        <v>5</v>
      </c>
      <c r="AA26" s="11">
        <v>44817</v>
      </c>
      <c r="AB26" s="3">
        <v>44925</v>
      </c>
      <c r="AC26" s="2">
        <f t="shared" si="2"/>
        <v>109</v>
      </c>
      <c r="AD26" s="2">
        <v>25</v>
      </c>
      <c r="AE26" s="2" t="s">
        <v>110</v>
      </c>
      <c r="AF26" s="2" t="str">
        <f t="shared" si="3"/>
        <v>Tidak ada</v>
      </c>
      <c r="AG26" s="2" t="s">
        <v>111</v>
      </c>
      <c r="AH26" s="2" t="str">
        <f t="shared" si="4"/>
        <v>Ada</v>
      </c>
    </row>
    <row r="27" spans="1:34" ht="39.5" x14ac:dyDescent="0.35">
      <c r="A27" s="2">
        <v>49</v>
      </c>
      <c r="B27" s="2"/>
      <c r="C27" s="2" t="str">
        <f>IF(ISNUMBER(SEARCH(LOWER([1]Sheet1!$C$1),LOWER(B27))),"Ya","Tidak")</f>
        <v>Tidak</v>
      </c>
      <c r="D27" s="2" t="str">
        <f>IF(ISNUMBER(SEARCH(LOWER([1]Sheet1!$D$1),LOWER(B27))),"Ya","Tidak")</f>
        <v>Tidak</v>
      </c>
      <c r="E27" s="2" t="str">
        <f>IF(ISNUMBER(SEARCH(LOWER([1]Sheet1!$E$1),LOWER(B27))),"Ya","Tidak")</f>
        <v>Tidak</v>
      </c>
      <c r="F27" s="2" t="str">
        <f>IF(ISNUMBER(SEARCH(LOWER([1]Sheet1!$F$1),LOWER(B27))),"Ya","Tidak")</f>
        <v>Tidak</v>
      </c>
      <c r="G27" s="2" t="str">
        <f>IF(ISNUMBER(SEARCH(LOWER([1]Sheet1!$G$1),LOWER(B27))),"Ya","Tidak")</f>
        <v>Tidak</v>
      </c>
      <c r="H27" s="2" t="str">
        <f>IF(ISNUMBER(SEARCH(LOWER([1]Sheet1!$H$1),LOWER(B27))),"Ya","Tidak")</f>
        <v>Tidak</v>
      </c>
      <c r="I27" s="2" t="str">
        <f>IF(ISNUMBER(SEARCH(LOWER([1]Sheet1!$I$1),LOWER(B27))),"Ya","Tidak")</f>
        <v>Tidak</v>
      </c>
      <c r="J27" s="2" t="str">
        <f>IF(OR(ISNUMBER(SEARCH(LOWER([1]Sheet1!$J$1),LOWER(B27))), ISNUMBER(SEARCH("dm",LOWER(B27)))),"Ya","Tidak")</f>
        <v>Tidak</v>
      </c>
      <c r="K27" s="2" t="str">
        <f>IF(ISNUMBER(SEARCH(LOWER([1]Sheet1!$K$1),LOWER(B27))),"Ya","Tidak")</f>
        <v>Tidak</v>
      </c>
      <c r="L27" s="2" t="str">
        <f>IF(ISNUMBER(SEARCH(LOWER([1]Sheet1!$L$1),LOWER(B27))),"Ya","Tidak")</f>
        <v>Tidak</v>
      </c>
      <c r="M27" s="2" t="str">
        <f>IF(ISNUMBER(SEARCH(LOWER([1]Sheet1!$M$1),LOWER(B27))),"Ya","Tidak")</f>
        <v>Tidak</v>
      </c>
      <c r="N27" s="2" t="str">
        <f>IF(ISNUMBER(SEARCH(LOWER([1]Sheet1!$N$1),LOWER(B27))),"Ya","Tidak")</f>
        <v>Tidak</v>
      </c>
      <c r="O27" s="2" t="str">
        <f>IF(ISNUMBER(SEARCH(LOWER([1]Sheet1!$O$1),LOWER(B27))),"Ya","Tidak")</f>
        <v>Tidak</v>
      </c>
      <c r="P27" s="2" t="str">
        <f>IF(ISNUMBER(SEARCH(LOWER([1]Sheet1!$P$1),LOWER(B27))),"Ya","Tidak")</f>
        <v>Tidak</v>
      </c>
      <c r="Q27" s="2" t="str">
        <f>IF(ISNUMBER(SEARCH(LOWER([1]Sheet1!$Q$1),LOWER(B27))),"Ya","Tidak")</f>
        <v>Tidak</v>
      </c>
      <c r="R27" s="2" t="str">
        <f>IF(ISNUMBER(SEARCH(LOWER([1]Sheet1!$R$1),LOWER(B27))),"Ya","Tidak")</f>
        <v>Tidak</v>
      </c>
      <c r="S27" s="3" t="s">
        <v>112</v>
      </c>
      <c r="T27" s="2" t="str">
        <f t="shared" si="0"/>
        <v>IIB</v>
      </c>
      <c r="U27" s="2" t="str">
        <f t="shared" si="5"/>
        <v>1-3 KGB aksila</v>
      </c>
      <c r="V27" s="2" t="s">
        <v>113</v>
      </c>
      <c r="W27" s="4" t="s">
        <v>114</v>
      </c>
      <c r="X27" s="2" t="s">
        <v>17</v>
      </c>
      <c r="Y27" s="2" t="str">
        <f t="shared" si="1"/>
        <v>&gt;2 cm - &lt;5cm</v>
      </c>
      <c r="Z27" s="2" t="s">
        <v>24</v>
      </c>
      <c r="AA27" s="3">
        <v>44811</v>
      </c>
      <c r="AB27" s="3">
        <v>44916</v>
      </c>
      <c r="AC27" s="2">
        <f t="shared" si="2"/>
        <v>106</v>
      </c>
      <c r="AD27" s="2">
        <v>30</v>
      </c>
      <c r="AE27" s="2" t="s">
        <v>115</v>
      </c>
      <c r="AF27" s="2" t="str">
        <f t="shared" si="3"/>
        <v>Tidak ada</v>
      </c>
      <c r="AG27" s="2" t="s">
        <v>116</v>
      </c>
      <c r="AH27" s="2" t="str">
        <f t="shared" si="4"/>
        <v>Tidak ada</v>
      </c>
    </row>
    <row r="28" spans="1:34" ht="39.5" x14ac:dyDescent="0.35">
      <c r="A28" s="2">
        <v>35</v>
      </c>
      <c r="B28" s="2"/>
      <c r="C28" s="2" t="str">
        <f>IF(ISNUMBER(SEARCH(LOWER([1]Sheet1!$C$1),LOWER(B28))),"Ya","Tidak")</f>
        <v>Tidak</v>
      </c>
      <c r="D28" s="2" t="str">
        <f>IF(ISNUMBER(SEARCH(LOWER([1]Sheet1!$D$1),LOWER(B28))),"Ya","Tidak")</f>
        <v>Tidak</v>
      </c>
      <c r="E28" s="2" t="str">
        <f>IF(ISNUMBER(SEARCH(LOWER([1]Sheet1!$E$1),LOWER(B28))),"Ya","Tidak")</f>
        <v>Tidak</v>
      </c>
      <c r="F28" s="2" t="str">
        <f>IF(ISNUMBER(SEARCH(LOWER([1]Sheet1!$F$1),LOWER(B28))),"Ya","Tidak")</f>
        <v>Tidak</v>
      </c>
      <c r="G28" s="2" t="str">
        <f>IF(ISNUMBER(SEARCH(LOWER([1]Sheet1!$G$1),LOWER(B28))),"Ya","Tidak")</f>
        <v>Tidak</v>
      </c>
      <c r="H28" s="2" t="str">
        <f>IF(ISNUMBER(SEARCH(LOWER([1]Sheet1!$H$1),LOWER(B28))),"Ya","Tidak")</f>
        <v>Tidak</v>
      </c>
      <c r="I28" s="2" t="str">
        <f>IF(ISNUMBER(SEARCH(LOWER([1]Sheet1!$I$1),LOWER(B28))),"Ya","Tidak")</f>
        <v>Tidak</v>
      </c>
      <c r="J28" s="2" t="str">
        <f>IF(OR(ISNUMBER(SEARCH(LOWER([1]Sheet1!$J$1),LOWER(B28))), ISNUMBER(SEARCH("dm",LOWER(B28)))),"Ya","Tidak")</f>
        <v>Tidak</v>
      </c>
      <c r="K28" s="2" t="str">
        <f>IF(ISNUMBER(SEARCH(LOWER([1]Sheet1!$K$1),LOWER(B28))),"Ya","Tidak")</f>
        <v>Tidak</v>
      </c>
      <c r="L28" s="2" t="str">
        <f>IF(ISNUMBER(SEARCH(LOWER([1]Sheet1!$L$1),LOWER(B28))),"Ya","Tidak")</f>
        <v>Tidak</v>
      </c>
      <c r="M28" s="2" t="str">
        <f>IF(ISNUMBER(SEARCH(LOWER([1]Sheet1!$M$1),LOWER(B28))),"Ya","Tidak")</f>
        <v>Tidak</v>
      </c>
      <c r="N28" s="2" t="str">
        <f>IF(ISNUMBER(SEARCH(LOWER([1]Sheet1!$N$1),LOWER(B28))),"Ya","Tidak")</f>
        <v>Tidak</v>
      </c>
      <c r="O28" s="2" t="str">
        <f>IF(ISNUMBER(SEARCH(LOWER([1]Sheet1!$O$1),LOWER(B28))),"Ya","Tidak")</f>
        <v>Tidak</v>
      </c>
      <c r="P28" s="2" t="str">
        <f>IF(ISNUMBER(SEARCH(LOWER([1]Sheet1!$P$1),LOWER(B28))),"Ya","Tidak")</f>
        <v>Tidak</v>
      </c>
      <c r="Q28" s="2" t="str">
        <f>IF(ISNUMBER(SEARCH(LOWER([1]Sheet1!$Q$1),LOWER(B28))),"Ya","Tidak")</f>
        <v>Tidak</v>
      </c>
      <c r="R28" s="2" t="str">
        <f>IF(ISNUMBER(SEARCH(LOWER([1]Sheet1!$R$1),LOWER(B28))),"Ya","Tidak")</f>
        <v>Tidak</v>
      </c>
      <c r="S28" s="3" t="s">
        <v>117</v>
      </c>
      <c r="T28" s="2" t="str">
        <f t="shared" si="0"/>
        <v>IIB</v>
      </c>
      <c r="U28" s="2" t="str">
        <f t="shared" si="5"/>
        <v>Tidak ada metastasis KGB Regional</v>
      </c>
      <c r="V28" s="2" t="s">
        <v>79</v>
      </c>
      <c r="W28" s="4" t="s">
        <v>3</v>
      </c>
      <c r="X28" s="2" t="s">
        <v>12</v>
      </c>
      <c r="Y28" s="2" t="str">
        <f t="shared" si="1"/>
        <v>&gt;5cm</v>
      </c>
      <c r="Z28" s="2" t="s">
        <v>5</v>
      </c>
      <c r="AA28" s="3">
        <v>44883</v>
      </c>
      <c r="AB28" s="3">
        <v>44988</v>
      </c>
      <c r="AC28" s="2">
        <f t="shared" si="2"/>
        <v>106</v>
      </c>
      <c r="AD28" s="2">
        <v>23</v>
      </c>
      <c r="AE28" s="2" t="s">
        <v>118</v>
      </c>
      <c r="AF28" s="2" t="str">
        <f t="shared" si="3"/>
        <v>Tidak ada</v>
      </c>
      <c r="AG28" s="2" t="s">
        <v>119</v>
      </c>
      <c r="AH28" s="2" t="str">
        <f t="shared" si="4"/>
        <v>Tidak ada</v>
      </c>
    </row>
    <row r="29" spans="1:34" ht="39.5" x14ac:dyDescent="0.35">
      <c r="A29" s="12">
        <v>33</v>
      </c>
      <c r="B29" s="2"/>
      <c r="C29" s="2" t="str">
        <f>IF(ISNUMBER(SEARCH(LOWER([1]Sheet1!$C$1),LOWER(B29))),"Ya","Tidak")</f>
        <v>Tidak</v>
      </c>
      <c r="D29" s="2" t="str">
        <f>IF(ISNUMBER(SEARCH(LOWER([1]Sheet1!$D$1),LOWER(B29))),"Ya","Tidak")</f>
        <v>Tidak</v>
      </c>
      <c r="E29" s="2" t="str">
        <f>IF(ISNUMBER(SEARCH(LOWER([1]Sheet1!$E$1),LOWER(B29))),"Ya","Tidak")</f>
        <v>Tidak</v>
      </c>
      <c r="F29" s="2" t="str">
        <f>IF(ISNUMBER(SEARCH(LOWER([1]Sheet1!$F$1),LOWER(B29))),"Ya","Tidak")</f>
        <v>Tidak</v>
      </c>
      <c r="G29" s="2" t="str">
        <f>IF(ISNUMBER(SEARCH(LOWER([1]Sheet1!$G$1),LOWER(B29))),"Ya","Tidak")</f>
        <v>Tidak</v>
      </c>
      <c r="H29" s="2" t="str">
        <f>IF(ISNUMBER(SEARCH(LOWER([1]Sheet1!$H$1),LOWER(B29))),"Ya","Tidak")</f>
        <v>Tidak</v>
      </c>
      <c r="I29" s="2" t="str">
        <f>IF(ISNUMBER(SEARCH(LOWER([1]Sheet1!$I$1),LOWER(B29))),"Ya","Tidak")</f>
        <v>Tidak</v>
      </c>
      <c r="J29" s="2" t="str">
        <f>IF(OR(ISNUMBER(SEARCH(LOWER([1]Sheet1!$J$1),LOWER(B29))), ISNUMBER(SEARCH("dm",LOWER(B29)))),"Ya","Tidak")</f>
        <v>Tidak</v>
      </c>
      <c r="K29" s="2" t="str">
        <f>IF(ISNUMBER(SEARCH(LOWER([1]Sheet1!$K$1),LOWER(B29))),"Ya","Tidak")</f>
        <v>Tidak</v>
      </c>
      <c r="L29" s="2" t="str">
        <f>IF(ISNUMBER(SEARCH(LOWER([1]Sheet1!$L$1),LOWER(B29))),"Ya","Tidak")</f>
        <v>Tidak</v>
      </c>
      <c r="M29" s="2" t="str">
        <f>IF(ISNUMBER(SEARCH(LOWER([1]Sheet1!$M$1),LOWER(B29))),"Ya","Tidak")</f>
        <v>Tidak</v>
      </c>
      <c r="N29" s="2" t="str">
        <f>IF(ISNUMBER(SEARCH(LOWER([1]Sheet1!$N$1),LOWER(B29))),"Ya","Tidak")</f>
        <v>Tidak</v>
      </c>
      <c r="O29" s="2" t="str">
        <f>IF(ISNUMBER(SEARCH(LOWER([1]Sheet1!$O$1),LOWER(B29))),"Ya","Tidak")</f>
        <v>Tidak</v>
      </c>
      <c r="P29" s="2" t="str">
        <f>IF(ISNUMBER(SEARCH(LOWER([1]Sheet1!$P$1),LOWER(B29))),"Ya","Tidak")</f>
        <v>Tidak</v>
      </c>
      <c r="Q29" s="2" t="str">
        <f>IF(ISNUMBER(SEARCH(LOWER([1]Sheet1!$Q$1),LOWER(B29))),"Ya","Tidak")</f>
        <v>Tidak</v>
      </c>
      <c r="R29" s="2" t="str">
        <f>IF(ISNUMBER(SEARCH(LOWER([1]Sheet1!$R$1),LOWER(B29))),"Ya","Tidak")</f>
        <v>Tidak</v>
      </c>
      <c r="S29" s="13" t="s">
        <v>120</v>
      </c>
      <c r="T29" s="2" t="str">
        <f t="shared" si="0"/>
        <v>IIA</v>
      </c>
      <c r="U29" s="2" t="str">
        <f t="shared" si="5"/>
        <v>Metastasis pada KGB aksila ipsilateral</v>
      </c>
      <c r="V29" s="14" t="s">
        <v>121</v>
      </c>
      <c r="W29" s="4" t="s">
        <v>122</v>
      </c>
      <c r="X29" s="2" t="s">
        <v>12</v>
      </c>
      <c r="Y29" s="2" t="str">
        <f t="shared" si="1"/>
        <v>&gt;5cm</v>
      </c>
      <c r="Z29" s="2" t="s">
        <v>5</v>
      </c>
      <c r="AA29" s="13">
        <v>45215</v>
      </c>
      <c r="AB29" s="3">
        <v>45323</v>
      </c>
      <c r="AC29" s="2">
        <f t="shared" si="2"/>
        <v>109</v>
      </c>
      <c r="AD29" s="2">
        <v>30</v>
      </c>
      <c r="AE29" s="2" t="s">
        <v>123</v>
      </c>
      <c r="AF29" s="2" t="str">
        <f t="shared" si="3"/>
        <v>Ada</v>
      </c>
      <c r="AG29" s="2"/>
      <c r="AH29" s="2" t="str">
        <f t="shared" si="4"/>
        <v>Tidak ada</v>
      </c>
    </row>
    <row r="30" spans="1:34" ht="26.5" x14ac:dyDescent="0.35">
      <c r="A30" s="15">
        <v>49</v>
      </c>
      <c r="B30" s="15" t="s">
        <v>124</v>
      </c>
      <c r="C30" s="2" t="str">
        <f>IF(ISNUMBER(SEARCH(LOWER([1]Sheet1!$C$1),LOWER(B30))),"Ya","Tidak")</f>
        <v>Tidak</v>
      </c>
      <c r="D30" s="2" t="str">
        <f>IF(ISNUMBER(SEARCH(LOWER([1]Sheet1!$D$1),LOWER(B30))),"Ya","Tidak")</f>
        <v>Tidak</v>
      </c>
      <c r="E30" s="2" t="str">
        <f>IF(ISNUMBER(SEARCH(LOWER([1]Sheet1!$E$1),LOWER(B30))),"Ya","Tidak")</f>
        <v>Tidak</v>
      </c>
      <c r="F30" s="2" t="str">
        <f>IF(ISNUMBER(SEARCH(LOWER([1]Sheet1!$F$1),LOWER(B30))),"Ya","Tidak")</f>
        <v>Ya</v>
      </c>
      <c r="G30" s="2" t="str">
        <f>IF(ISNUMBER(SEARCH(LOWER([1]Sheet1!$G$1),LOWER(B30))),"Ya","Tidak")</f>
        <v>Tidak</v>
      </c>
      <c r="H30" s="2" t="str">
        <f>IF(ISNUMBER(SEARCH(LOWER([1]Sheet1!$H$1),LOWER(B30))),"Ya","Tidak")</f>
        <v>Tidak</v>
      </c>
      <c r="I30" s="2" t="str">
        <f>IF(ISNUMBER(SEARCH(LOWER([1]Sheet1!$I$1),LOWER(B30))),"Ya","Tidak")</f>
        <v>Tidak</v>
      </c>
      <c r="J30" s="2" t="str">
        <f>IF(OR(ISNUMBER(SEARCH(LOWER([1]Sheet1!$J$1),LOWER(B30))), ISNUMBER(SEARCH("dm",LOWER(B30)))),"Ya","Tidak")</f>
        <v>Ya</v>
      </c>
      <c r="K30" s="2" t="str">
        <f>IF(ISNUMBER(SEARCH(LOWER([1]Sheet1!$K$1),LOWER(B30))),"Ya","Tidak")</f>
        <v>Tidak</v>
      </c>
      <c r="L30" s="2" t="str">
        <f>IF(ISNUMBER(SEARCH(LOWER([1]Sheet1!$L$1),LOWER(B30))),"Ya","Tidak")</f>
        <v>Tidak</v>
      </c>
      <c r="M30" s="2" t="str">
        <f>IF(ISNUMBER(SEARCH(LOWER([1]Sheet1!$M$1),LOWER(B30))),"Ya","Tidak")</f>
        <v>Tidak</v>
      </c>
      <c r="N30" s="2" t="str">
        <f>IF(ISNUMBER(SEARCH(LOWER([1]Sheet1!$N$1),LOWER(B30))),"Ya","Tidak")</f>
        <v>Tidak</v>
      </c>
      <c r="O30" s="2" t="str">
        <f>IF(ISNUMBER(SEARCH(LOWER([1]Sheet1!$O$1),LOWER(B30))),"Ya","Tidak")</f>
        <v>Tidak</v>
      </c>
      <c r="P30" s="2" t="str">
        <f>IF(ISNUMBER(SEARCH(LOWER([1]Sheet1!$P$1),LOWER(B30))),"Ya","Tidak")</f>
        <v>Tidak</v>
      </c>
      <c r="Q30" s="2" t="str">
        <f>IF(ISNUMBER(SEARCH(LOWER([1]Sheet1!$Q$1),LOWER(B30))),"Ya","Tidak")</f>
        <v>Tidak</v>
      </c>
      <c r="R30" s="2" t="str">
        <f>IF(ISNUMBER(SEARCH(LOWER([1]Sheet1!$R$1),LOWER(B30))),"Ya","Tidak")</f>
        <v>Tidak</v>
      </c>
      <c r="S30" s="16" t="s">
        <v>125</v>
      </c>
      <c r="T30" s="2" t="str">
        <f t="shared" si="0"/>
        <v>IIA</v>
      </c>
      <c r="U30" s="2" t="str">
        <f t="shared" si="5"/>
        <v>1-3 KGB aksila</v>
      </c>
      <c r="V30" s="15" t="s">
        <v>126</v>
      </c>
      <c r="W30" s="17" t="s">
        <v>70</v>
      </c>
      <c r="X30" s="15" t="s">
        <v>43</v>
      </c>
      <c r="Y30" s="2" t="str">
        <f t="shared" si="1"/>
        <v>&lt;2 cm - 2 cm</v>
      </c>
      <c r="Z30" s="15" t="s">
        <v>5</v>
      </c>
      <c r="AA30" s="16">
        <v>44907</v>
      </c>
      <c r="AB30" s="16">
        <v>44995</v>
      </c>
      <c r="AC30" s="2">
        <f t="shared" si="2"/>
        <v>89</v>
      </c>
      <c r="AD30" s="15">
        <v>25</v>
      </c>
      <c r="AE30" s="15" t="s">
        <v>127</v>
      </c>
      <c r="AF30" s="2" t="str">
        <f t="shared" si="3"/>
        <v>Tidak ada</v>
      </c>
      <c r="AG30" s="15" t="s">
        <v>128</v>
      </c>
      <c r="AH30" s="2" t="str">
        <f t="shared" si="4"/>
        <v>Tidak ada</v>
      </c>
    </row>
    <row r="31" spans="1:34" ht="39.5" x14ac:dyDescent="0.35">
      <c r="A31" s="18">
        <v>47</v>
      </c>
      <c r="B31" s="18" t="s">
        <v>129</v>
      </c>
      <c r="C31" s="2" t="str">
        <f>IF(ISNUMBER(SEARCH(LOWER([1]Sheet1!$C$1),LOWER(B31))),"Ya","Tidak")</f>
        <v>Ya</v>
      </c>
      <c r="D31" s="2" t="str">
        <f>IF(ISNUMBER(SEARCH(LOWER([1]Sheet1!$D$1),LOWER(B31))),"Ya","Tidak")</f>
        <v>Tidak</v>
      </c>
      <c r="E31" s="2" t="str">
        <f>IF(ISNUMBER(SEARCH(LOWER([1]Sheet1!$E$1),LOWER(B31))),"Ya","Tidak")</f>
        <v>Tidak</v>
      </c>
      <c r="F31" s="2" t="str">
        <f>IF(ISNUMBER(SEARCH(LOWER([1]Sheet1!$F$1),LOWER(B31))),"Ya","Tidak")</f>
        <v>Tidak</v>
      </c>
      <c r="G31" s="2" t="str">
        <f>IF(ISNUMBER(SEARCH(LOWER([1]Sheet1!$G$1),LOWER(B31))),"Ya","Tidak")</f>
        <v>Tidak</v>
      </c>
      <c r="H31" s="2" t="str">
        <f>IF(ISNUMBER(SEARCH(LOWER([1]Sheet1!$H$1),LOWER(B31))),"Ya","Tidak")</f>
        <v>Tidak</v>
      </c>
      <c r="I31" s="2" t="str">
        <f>IF(ISNUMBER(SEARCH(LOWER([1]Sheet1!$I$1),LOWER(B31))),"Ya","Tidak")</f>
        <v>Tidak</v>
      </c>
      <c r="J31" s="2" t="str">
        <f>IF(OR(ISNUMBER(SEARCH(LOWER([1]Sheet1!$J$1),LOWER(B31))), ISNUMBER(SEARCH("dm",LOWER(B31)))),"Ya","Tidak")</f>
        <v>Tidak</v>
      </c>
      <c r="K31" s="2" t="str">
        <f>IF(ISNUMBER(SEARCH(LOWER([1]Sheet1!$K$1),LOWER(B31))),"Ya","Tidak")</f>
        <v>Tidak</v>
      </c>
      <c r="L31" s="2" t="str">
        <f>IF(ISNUMBER(SEARCH(LOWER([1]Sheet1!$L$1),LOWER(B31))),"Ya","Tidak")</f>
        <v>Tidak</v>
      </c>
      <c r="M31" s="2" t="str">
        <f>IF(ISNUMBER(SEARCH(LOWER([1]Sheet1!$M$1),LOWER(B31))),"Ya","Tidak")</f>
        <v>Tidak</v>
      </c>
      <c r="N31" s="2" t="str">
        <f>IF(ISNUMBER(SEARCH(LOWER([1]Sheet1!$N$1),LOWER(B31))),"Ya","Tidak")</f>
        <v>Tidak</v>
      </c>
      <c r="O31" s="2" t="str">
        <f>IF(ISNUMBER(SEARCH(LOWER([1]Sheet1!$O$1),LOWER(B31))),"Ya","Tidak")</f>
        <v>Tidak</v>
      </c>
      <c r="P31" s="2" t="str">
        <f>IF(ISNUMBER(SEARCH(LOWER([1]Sheet1!$P$1),LOWER(B31))),"Ya","Tidak")</f>
        <v>Tidak</v>
      </c>
      <c r="Q31" s="2" t="str">
        <f>IF(ISNUMBER(SEARCH(LOWER([1]Sheet1!$Q$1),LOWER(B31))),"Ya","Tidak")</f>
        <v>Tidak</v>
      </c>
      <c r="R31" s="2" t="str">
        <f>IF(ISNUMBER(SEARCH(LOWER([1]Sheet1!$R$1),LOWER(B31))),"Ya","Tidak")</f>
        <v>Tidak</v>
      </c>
      <c r="S31" s="19" t="s">
        <v>78</v>
      </c>
      <c r="T31" s="2" t="str">
        <f t="shared" si="0"/>
        <v>IIB</v>
      </c>
      <c r="U31" s="2" t="str">
        <f t="shared" si="5"/>
        <v>Tidak ada metastasis KGB Regional</v>
      </c>
      <c r="V31" s="18" t="s">
        <v>130</v>
      </c>
      <c r="W31" s="20" t="s">
        <v>131</v>
      </c>
      <c r="X31" s="18" t="s">
        <v>12</v>
      </c>
      <c r="Y31" s="2" t="str">
        <f t="shared" si="1"/>
        <v>&gt;5cm</v>
      </c>
      <c r="Z31" s="18" t="s">
        <v>24</v>
      </c>
      <c r="AA31" s="21">
        <v>44810</v>
      </c>
      <c r="AB31" s="19">
        <v>44900</v>
      </c>
      <c r="AC31" s="2">
        <f t="shared" si="2"/>
        <v>91</v>
      </c>
      <c r="AD31" s="18">
        <v>30</v>
      </c>
      <c r="AE31" s="18" t="s">
        <v>132</v>
      </c>
      <c r="AF31" s="2" t="str">
        <f t="shared" si="3"/>
        <v>Tidak ada</v>
      </c>
      <c r="AG31" s="18" t="s">
        <v>133</v>
      </c>
      <c r="AH31" s="2" t="str">
        <f t="shared" si="4"/>
        <v>Tidak ada</v>
      </c>
    </row>
    <row r="32" spans="1:34" ht="39.5" x14ac:dyDescent="0.35">
      <c r="A32" s="18">
        <v>59</v>
      </c>
      <c r="B32" s="18" t="s">
        <v>134</v>
      </c>
      <c r="C32" s="2" t="str">
        <f>IF(ISNUMBER(SEARCH(LOWER([1]Sheet1!$C$1),LOWER(B32))),"Ya","Tidak")</f>
        <v>Tidak</v>
      </c>
      <c r="D32" s="2" t="str">
        <f>IF(ISNUMBER(SEARCH(LOWER([1]Sheet1!$D$1),LOWER(B32))),"Ya","Tidak")</f>
        <v>Tidak</v>
      </c>
      <c r="E32" s="2" t="str">
        <f>IF(ISNUMBER(SEARCH(LOWER([1]Sheet1!$E$1),LOWER(B32))),"Ya","Tidak")</f>
        <v>Tidak</v>
      </c>
      <c r="F32" s="2" t="str">
        <f>IF(ISNUMBER(SEARCH(LOWER([1]Sheet1!$F$1),LOWER(B32))),"Ya","Tidak")</f>
        <v>Tidak</v>
      </c>
      <c r="G32" s="2" t="str">
        <f>IF(ISNUMBER(SEARCH(LOWER([1]Sheet1!$G$1),LOWER(B32))),"Ya","Tidak")</f>
        <v>Tidak</v>
      </c>
      <c r="H32" s="2" t="str">
        <f>IF(ISNUMBER(SEARCH(LOWER([1]Sheet1!$H$1),LOWER(B32))),"Ya","Tidak")</f>
        <v>Tidak</v>
      </c>
      <c r="I32" s="2" t="str">
        <f>IF(ISNUMBER(SEARCH(LOWER([1]Sheet1!$I$1),LOWER(B32))),"Ya","Tidak")</f>
        <v>Ya</v>
      </c>
      <c r="J32" s="2" t="str">
        <f>IF(OR(ISNUMBER(SEARCH(LOWER([1]Sheet1!$J$1),LOWER(B32))), ISNUMBER(SEARCH("dm",LOWER(B32)))),"Ya","Tidak")</f>
        <v>Tidak</v>
      </c>
      <c r="K32" s="2" t="str">
        <f>IF(ISNUMBER(SEARCH(LOWER([1]Sheet1!$K$1),LOWER(B32))),"Ya","Tidak")</f>
        <v>Tidak</v>
      </c>
      <c r="L32" s="2" t="str">
        <f>IF(ISNUMBER(SEARCH(LOWER([1]Sheet1!$L$1),LOWER(B32))),"Ya","Tidak")</f>
        <v>Tidak</v>
      </c>
      <c r="M32" s="2" t="str">
        <f>IF(ISNUMBER(SEARCH(LOWER([1]Sheet1!$M$1),LOWER(B32))),"Ya","Tidak")</f>
        <v>Tidak</v>
      </c>
      <c r="N32" s="2" t="str">
        <f>IF(ISNUMBER(SEARCH(LOWER([1]Sheet1!$N$1),LOWER(B32))),"Ya","Tidak")</f>
        <v>Tidak</v>
      </c>
      <c r="O32" s="2" t="str">
        <f>IF(ISNUMBER(SEARCH(LOWER([1]Sheet1!$O$1),LOWER(B32))),"Ya","Tidak")</f>
        <v>Tidak</v>
      </c>
      <c r="P32" s="2" t="str">
        <f>IF(ISNUMBER(SEARCH(LOWER([1]Sheet1!$P$1),LOWER(B32))),"Ya","Tidak")</f>
        <v>Tidak</v>
      </c>
      <c r="Q32" s="2" t="str">
        <f>IF(ISNUMBER(SEARCH(LOWER([1]Sheet1!$Q$1),LOWER(B32))),"Ya","Tidak")</f>
        <v>Tidak</v>
      </c>
      <c r="R32" s="2" t="str">
        <f>IF(ISNUMBER(SEARCH(LOWER([1]Sheet1!$R$1),LOWER(B32))),"Ya","Tidak")</f>
        <v>Tidak</v>
      </c>
      <c r="S32" s="19" t="s">
        <v>1</v>
      </c>
      <c r="T32" s="2" t="str">
        <f t="shared" si="0"/>
        <v>IIIB</v>
      </c>
      <c r="U32" s="2" t="str">
        <f t="shared" si="5"/>
        <v>Metastasis pada KGB aksila ipsilateral</v>
      </c>
      <c r="V32" s="18" t="s">
        <v>135</v>
      </c>
      <c r="W32" s="20" t="s">
        <v>3</v>
      </c>
      <c r="X32" s="18" t="s">
        <v>4</v>
      </c>
      <c r="Y32" s="2" t="str">
        <f t="shared" si="1"/>
        <v>&gt;5 cm dengan eksistensi langsung ke dinding dada/kulit</v>
      </c>
      <c r="Z32" s="18" t="s">
        <v>24</v>
      </c>
      <c r="AA32" s="19">
        <v>44897</v>
      </c>
      <c r="AB32" s="19">
        <v>45056</v>
      </c>
      <c r="AC32" s="2">
        <f t="shared" si="2"/>
        <v>160</v>
      </c>
      <c r="AD32" s="18">
        <v>25</v>
      </c>
      <c r="AE32" s="18" t="s">
        <v>136</v>
      </c>
      <c r="AF32" s="2" t="str">
        <f t="shared" si="3"/>
        <v>Tidak ada</v>
      </c>
      <c r="AG32" s="18" t="s">
        <v>137</v>
      </c>
      <c r="AH32" s="2" t="str">
        <f t="shared" si="4"/>
        <v>Tidak ada</v>
      </c>
    </row>
    <row r="33" spans="1:34" ht="39.5" x14ac:dyDescent="0.35">
      <c r="A33" s="18">
        <v>64</v>
      </c>
      <c r="B33" s="22" t="s">
        <v>138</v>
      </c>
      <c r="C33" s="2" t="str">
        <f>IF(ISNUMBER(SEARCH(LOWER([1]Sheet1!$C$1),LOWER(B33))),"Ya","Tidak")</f>
        <v>Ya</v>
      </c>
      <c r="D33" s="2" t="str">
        <f>IF(ISNUMBER(SEARCH(LOWER([1]Sheet1!$D$1),LOWER(B33))),"Ya","Tidak")</f>
        <v>Tidak</v>
      </c>
      <c r="E33" s="2" t="str">
        <f>IF(ISNUMBER(SEARCH(LOWER([1]Sheet1!$E$1),LOWER(B33))),"Ya","Tidak")</f>
        <v>Tidak</v>
      </c>
      <c r="F33" s="2" t="str">
        <f>IF(ISNUMBER(SEARCH(LOWER([1]Sheet1!$F$1),LOWER(B33))),"Ya","Tidak")</f>
        <v>Tidak</v>
      </c>
      <c r="G33" s="2" t="str">
        <f>IF(ISNUMBER(SEARCH(LOWER([1]Sheet1!$G$1),LOWER(B33))),"Ya","Tidak")</f>
        <v>Tidak</v>
      </c>
      <c r="H33" s="2" t="str">
        <f>IF(ISNUMBER(SEARCH(LOWER([1]Sheet1!$H$1),LOWER(B33))),"Ya","Tidak")</f>
        <v>Tidak</v>
      </c>
      <c r="I33" s="2" t="str">
        <f>IF(ISNUMBER(SEARCH(LOWER([1]Sheet1!$I$1),LOWER(B33))),"Ya","Tidak")</f>
        <v>Tidak</v>
      </c>
      <c r="J33" s="2" t="str">
        <f>IF(OR(ISNUMBER(SEARCH(LOWER([1]Sheet1!$J$1),LOWER(B33))), ISNUMBER(SEARCH("dm",LOWER(B33)))),"Ya","Tidak")</f>
        <v>Tidak</v>
      </c>
      <c r="K33" s="2" t="str">
        <f>IF(ISNUMBER(SEARCH(LOWER([1]Sheet1!$K$1),LOWER(B33))),"Ya","Tidak")</f>
        <v>Tidak</v>
      </c>
      <c r="L33" s="2" t="str">
        <f>IF(ISNUMBER(SEARCH(LOWER([1]Sheet1!$L$1),LOWER(B33))),"Ya","Tidak")</f>
        <v>Tidak</v>
      </c>
      <c r="M33" s="2" t="str">
        <f>IF(ISNUMBER(SEARCH(LOWER([1]Sheet1!$M$1),LOWER(B33))),"Ya","Tidak")</f>
        <v>Tidak</v>
      </c>
      <c r="N33" s="2" t="str">
        <f>IF(ISNUMBER(SEARCH(LOWER([1]Sheet1!$N$1),LOWER(B33))),"Ya","Tidak")</f>
        <v>Tidak</v>
      </c>
      <c r="O33" s="2" t="str">
        <f>IF(ISNUMBER(SEARCH(LOWER([1]Sheet1!$O$1),LOWER(B33))),"Ya","Tidak")</f>
        <v>Tidak</v>
      </c>
      <c r="P33" s="2" t="str">
        <f>IF(ISNUMBER(SEARCH(LOWER([1]Sheet1!$P$1),LOWER(B33))),"Ya","Tidak")</f>
        <v>Tidak</v>
      </c>
      <c r="Q33" s="2" t="str">
        <f>IF(ISNUMBER(SEARCH(LOWER([1]Sheet1!$Q$1),LOWER(B33))),"Ya","Tidak")</f>
        <v>Tidak</v>
      </c>
      <c r="R33" s="2" t="str">
        <f>IF(ISNUMBER(SEARCH(LOWER([1]Sheet1!$R$1),LOWER(B33))),"Ya","Tidak")</f>
        <v>Tidak</v>
      </c>
      <c r="S33" s="19" t="s">
        <v>112</v>
      </c>
      <c r="T33" s="2" t="str">
        <f t="shared" si="0"/>
        <v>IIB</v>
      </c>
      <c r="U33" s="2" t="str">
        <f t="shared" si="5"/>
        <v>1-3 KGB aksila</v>
      </c>
      <c r="V33" s="18" t="s">
        <v>139</v>
      </c>
      <c r="W33" s="20" t="s">
        <v>3</v>
      </c>
      <c r="X33" s="18" t="s">
        <v>17</v>
      </c>
      <c r="Y33" s="2" t="str">
        <f t="shared" si="1"/>
        <v>&gt;2 cm - &lt;5cm</v>
      </c>
      <c r="Z33" s="18" t="s">
        <v>24</v>
      </c>
      <c r="AA33" s="19">
        <v>45114</v>
      </c>
      <c r="AB33" s="19">
        <v>45226</v>
      </c>
      <c r="AC33" s="2">
        <f t="shared" si="2"/>
        <v>113</v>
      </c>
      <c r="AD33" s="18">
        <v>25</v>
      </c>
      <c r="AE33" s="18" t="s">
        <v>140</v>
      </c>
      <c r="AF33" s="2" t="str">
        <f t="shared" si="3"/>
        <v>Tidak ada</v>
      </c>
      <c r="AG33" s="18" t="s">
        <v>141</v>
      </c>
      <c r="AH33" s="2" t="str">
        <f t="shared" si="4"/>
        <v>Tidak ada</v>
      </c>
    </row>
    <row r="34" spans="1:34" ht="39.5" x14ac:dyDescent="0.35">
      <c r="A34" s="18">
        <v>55</v>
      </c>
      <c r="B34" s="18" t="s">
        <v>138</v>
      </c>
      <c r="C34" s="2" t="str">
        <f>IF(ISNUMBER(SEARCH(LOWER([1]Sheet1!$C$1),LOWER(B34))),"Ya","Tidak")</f>
        <v>Ya</v>
      </c>
      <c r="D34" s="2" t="str">
        <f>IF(ISNUMBER(SEARCH(LOWER([1]Sheet1!$D$1),LOWER(B34))),"Ya","Tidak")</f>
        <v>Tidak</v>
      </c>
      <c r="E34" s="2" t="str">
        <f>IF(ISNUMBER(SEARCH(LOWER([1]Sheet1!$E$1),LOWER(B34))),"Ya","Tidak")</f>
        <v>Tidak</v>
      </c>
      <c r="F34" s="2" t="str">
        <f>IF(ISNUMBER(SEARCH(LOWER([1]Sheet1!$F$1),LOWER(B34))),"Ya","Tidak")</f>
        <v>Tidak</v>
      </c>
      <c r="G34" s="2" t="str">
        <f>IF(ISNUMBER(SEARCH(LOWER([1]Sheet1!$G$1),LOWER(B34))),"Ya","Tidak")</f>
        <v>Tidak</v>
      </c>
      <c r="H34" s="2" t="str">
        <f>IF(ISNUMBER(SEARCH(LOWER([1]Sheet1!$H$1),LOWER(B34))),"Ya","Tidak")</f>
        <v>Tidak</v>
      </c>
      <c r="I34" s="2" t="str">
        <f>IF(ISNUMBER(SEARCH(LOWER([1]Sheet1!$I$1),LOWER(B34))),"Ya","Tidak")</f>
        <v>Tidak</v>
      </c>
      <c r="J34" s="2" t="str">
        <f>IF(OR(ISNUMBER(SEARCH(LOWER([1]Sheet1!$J$1),LOWER(B34))), ISNUMBER(SEARCH("dm",LOWER(B34)))),"Ya","Tidak")</f>
        <v>Tidak</v>
      </c>
      <c r="K34" s="2" t="str">
        <f>IF(ISNUMBER(SEARCH(LOWER([1]Sheet1!$K$1),LOWER(B34))),"Ya","Tidak")</f>
        <v>Tidak</v>
      </c>
      <c r="L34" s="2" t="str">
        <f>IF(ISNUMBER(SEARCH(LOWER([1]Sheet1!$L$1),LOWER(B34))),"Ya","Tidak")</f>
        <v>Tidak</v>
      </c>
      <c r="M34" s="2" t="str">
        <f>IF(ISNUMBER(SEARCH(LOWER([1]Sheet1!$M$1),LOWER(B34))),"Ya","Tidak")</f>
        <v>Tidak</v>
      </c>
      <c r="N34" s="2" t="str">
        <f>IF(ISNUMBER(SEARCH(LOWER([1]Sheet1!$N$1),LOWER(B34))),"Ya","Tidak")</f>
        <v>Tidak</v>
      </c>
      <c r="O34" s="2" t="str">
        <f>IF(ISNUMBER(SEARCH(LOWER([1]Sheet1!$O$1),LOWER(B34))),"Ya","Tidak")</f>
        <v>Tidak</v>
      </c>
      <c r="P34" s="2" t="str">
        <f>IF(ISNUMBER(SEARCH(LOWER([1]Sheet1!$P$1),LOWER(B34))),"Ya","Tidak")</f>
        <v>Tidak</v>
      </c>
      <c r="Q34" s="2" t="str">
        <f>IF(ISNUMBER(SEARCH(LOWER([1]Sheet1!$Q$1),LOWER(B34))),"Ya","Tidak")</f>
        <v>Tidak</v>
      </c>
      <c r="R34" s="2" t="str">
        <f>IF(ISNUMBER(SEARCH(LOWER([1]Sheet1!$R$1),LOWER(B34))),"Ya","Tidak")</f>
        <v>Tidak</v>
      </c>
      <c r="S34" s="19" t="s">
        <v>142</v>
      </c>
      <c r="T34" s="2" t="str">
        <f t="shared" si="0"/>
        <v>IIIB</v>
      </c>
      <c r="U34" s="2" t="str">
        <f t="shared" si="5"/>
        <v>KGB Regional tak dapat dinilai</v>
      </c>
      <c r="V34" s="18" t="s">
        <v>143</v>
      </c>
      <c r="W34" s="20" t="s">
        <v>3</v>
      </c>
      <c r="X34" s="18" t="s">
        <v>4</v>
      </c>
      <c r="Y34" s="2" t="str">
        <f t="shared" si="1"/>
        <v>&gt;5 cm dengan eksistensi langsung ke dinding dada/kulit</v>
      </c>
      <c r="Z34" s="18" t="s">
        <v>24</v>
      </c>
      <c r="AA34" s="19">
        <v>45163</v>
      </c>
      <c r="AB34" s="19">
        <v>45271</v>
      </c>
      <c r="AC34" s="2">
        <f t="shared" si="2"/>
        <v>109</v>
      </c>
      <c r="AD34" s="18">
        <v>30</v>
      </c>
      <c r="AE34" s="18" t="s">
        <v>144</v>
      </c>
      <c r="AF34" s="2" t="str">
        <f t="shared" si="3"/>
        <v>Tidak ada</v>
      </c>
      <c r="AG34" s="18" t="s">
        <v>145</v>
      </c>
      <c r="AH34" s="2" t="str">
        <f t="shared" si="4"/>
        <v>Tidak ada</v>
      </c>
    </row>
    <row r="35" spans="1:34" ht="39.5" x14ac:dyDescent="0.35">
      <c r="A35" s="18">
        <v>66</v>
      </c>
      <c r="B35" s="18"/>
      <c r="C35" s="2" t="str">
        <f>IF(ISNUMBER(SEARCH(LOWER([1]Sheet1!$C$1),LOWER(B35))),"Ya","Tidak")</f>
        <v>Tidak</v>
      </c>
      <c r="D35" s="2" t="str">
        <f>IF(ISNUMBER(SEARCH(LOWER([1]Sheet1!$D$1),LOWER(B35))),"Ya","Tidak")</f>
        <v>Tidak</v>
      </c>
      <c r="E35" s="2" t="str">
        <f>IF(ISNUMBER(SEARCH(LOWER([1]Sheet1!$E$1),LOWER(B35))),"Ya","Tidak")</f>
        <v>Tidak</v>
      </c>
      <c r="F35" s="2" t="str">
        <f>IF(ISNUMBER(SEARCH(LOWER([1]Sheet1!$F$1),LOWER(B35))),"Ya","Tidak")</f>
        <v>Tidak</v>
      </c>
      <c r="G35" s="2" t="str">
        <f>IF(ISNUMBER(SEARCH(LOWER([1]Sheet1!$G$1),LOWER(B35))),"Ya","Tidak")</f>
        <v>Tidak</v>
      </c>
      <c r="H35" s="2" t="str">
        <f>IF(ISNUMBER(SEARCH(LOWER([1]Sheet1!$H$1),LOWER(B35))),"Ya","Tidak")</f>
        <v>Tidak</v>
      </c>
      <c r="I35" s="2" t="str">
        <f>IF(ISNUMBER(SEARCH(LOWER([1]Sheet1!$I$1),LOWER(B35))),"Ya","Tidak")</f>
        <v>Tidak</v>
      </c>
      <c r="J35" s="2" t="str">
        <f>IF(OR(ISNUMBER(SEARCH(LOWER([1]Sheet1!$J$1),LOWER(B35))), ISNUMBER(SEARCH("dm",LOWER(B35)))),"Ya","Tidak")</f>
        <v>Tidak</v>
      </c>
      <c r="K35" s="2" t="str">
        <f>IF(ISNUMBER(SEARCH(LOWER([1]Sheet1!$K$1),LOWER(B35))),"Ya","Tidak")</f>
        <v>Tidak</v>
      </c>
      <c r="L35" s="2" t="str">
        <f>IF(ISNUMBER(SEARCH(LOWER([1]Sheet1!$L$1),LOWER(B35))),"Ya","Tidak")</f>
        <v>Tidak</v>
      </c>
      <c r="M35" s="2" t="str">
        <f>IF(ISNUMBER(SEARCH(LOWER([1]Sheet1!$M$1),LOWER(B35))),"Ya","Tidak")</f>
        <v>Tidak</v>
      </c>
      <c r="N35" s="2" t="str">
        <f>IF(ISNUMBER(SEARCH(LOWER([1]Sheet1!$N$1),LOWER(B35))),"Ya","Tidak")</f>
        <v>Tidak</v>
      </c>
      <c r="O35" s="2" t="str">
        <f>IF(ISNUMBER(SEARCH(LOWER([1]Sheet1!$O$1),LOWER(B35))),"Ya","Tidak")</f>
        <v>Tidak</v>
      </c>
      <c r="P35" s="2" t="str">
        <f>IF(ISNUMBER(SEARCH(LOWER([1]Sheet1!$P$1),LOWER(B35))),"Ya","Tidak")</f>
        <v>Tidak</v>
      </c>
      <c r="Q35" s="2" t="str">
        <f>IF(ISNUMBER(SEARCH(LOWER([1]Sheet1!$Q$1),LOWER(B35))),"Ya","Tidak")</f>
        <v>Tidak</v>
      </c>
      <c r="R35" s="2" t="str">
        <f>IF(ISNUMBER(SEARCH(LOWER([1]Sheet1!$R$1),LOWER(B35))),"Ya","Tidak")</f>
        <v>Tidak</v>
      </c>
      <c r="S35" s="19" t="s">
        <v>14</v>
      </c>
      <c r="T35" s="2" t="str">
        <f t="shared" si="0"/>
        <v>IIA</v>
      </c>
      <c r="U35" s="2" t="str">
        <f t="shared" si="5"/>
        <v>Tidak ada metastasis KGB Regional</v>
      </c>
      <c r="V35" s="18" t="s">
        <v>146</v>
      </c>
      <c r="W35" s="20" t="s">
        <v>80</v>
      </c>
      <c r="X35" s="18" t="s">
        <v>17</v>
      </c>
      <c r="Y35" s="2" t="str">
        <f t="shared" si="1"/>
        <v>&gt;2 cm - &lt;5cm</v>
      </c>
      <c r="Z35" s="18" t="s">
        <v>24</v>
      </c>
      <c r="AA35" s="19">
        <v>45111</v>
      </c>
      <c r="AB35" s="19">
        <v>45230</v>
      </c>
      <c r="AC35" s="2">
        <f t="shared" si="2"/>
        <v>120</v>
      </c>
      <c r="AD35" s="18">
        <v>30</v>
      </c>
      <c r="AE35" s="18" t="s">
        <v>147</v>
      </c>
      <c r="AF35" s="2" t="str">
        <f t="shared" si="3"/>
        <v>Tidak ada</v>
      </c>
      <c r="AG35" s="18" t="s">
        <v>148</v>
      </c>
      <c r="AH35" s="2" t="str">
        <f t="shared" si="4"/>
        <v>Tidak ada</v>
      </c>
    </row>
    <row r="36" spans="1:34" ht="39.5" x14ac:dyDescent="0.35">
      <c r="A36" s="18">
        <v>61</v>
      </c>
      <c r="B36" s="18"/>
      <c r="C36" s="2" t="str">
        <f>IF(ISNUMBER(SEARCH(LOWER([1]Sheet1!$C$1),LOWER(B36))),"Ya","Tidak")</f>
        <v>Tidak</v>
      </c>
      <c r="D36" s="2" t="str">
        <f>IF(ISNUMBER(SEARCH(LOWER([1]Sheet1!$D$1),LOWER(B36))),"Ya","Tidak")</f>
        <v>Tidak</v>
      </c>
      <c r="E36" s="2" t="str">
        <f>IF(ISNUMBER(SEARCH(LOWER([1]Sheet1!$E$1),LOWER(B36))),"Ya","Tidak")</f>
        <v>Tidak</v>
      </c>
      <c r="F36" s="2" t="str">
        <f>IF(ISNUMBER(SEARCH(LOWER([1]Sheet1!$F$1),LOWER(B36))),"Ya","Tidak")</f>
        <v>Tidak</v>
      </c>
      <c r="G36" s="2" t="str">
        <f>IF(ISNUMBER(SEARCH(LOWER([1]Sheet1!$G$1),LOWER(B36))),"Ya","Tidak")</f>
        <v>Tidak</v>
      </c>
      <c r="H36" s="2" t="str">
        <f>IF(ISNUMBER(SEARCH(LOWER([1]Sheet1!$H$1),LOWER(B36))),"Ya","Tidak")</f>
        <v>Tidak</v>
      </c>
      <c r="I36" s="2" t="str">
        <f>IF(ISNUMBER(SEARCH(LOWER([1]Sheet1!$I$1),LOWER(B36))),"Ya","Tidak")</f>
        <v>Tidak</v>
      </c>
      <c r="J36" s="2" t="str">
        <f>IF(OR(ISNUMBER(SEARCH(LOWER([1]Sheet1!$J$1),LOWER(B36))), ISNUMBER(SEARCH("dm",LOWER(B36)))),"Ya","Tidak")</f>
        <v>Tidak</v>
      </c>
      <c r="K36" s="2" t="str">
        <f>IF(ISNUMBER(SEARCH(LOWER([1]Sheet1!$K$1),LOWER(B36))),"Ya","Tidak")</f>
        <v>Tidak</v>
      </c>
      <c r="L36" s="2" t="str">
        <f>IF(ISNUMBER(SEARCH(LOWER([1]Sheet1!$L$1),LOWER(B36))),"Ya","Tidak")</f>
        <v>Tidak</v>
      </c>
      <c r="M36" s="2" t="str">
        <f>IF(ISNUMBER(SEARCH(LOWER([1]Sheet1!$M$1),LOWER(B36))),"Ya","Tidak")</f>
        <v>Tidak</v>
      </c>
      <c r="N36" s="2" t="str">
        <f>IF(ISNUMBER(SEARCH(LOWER([1]Sheet1!$N$1),LOWER(B36))),"Ya","Tidak")</f>
        <v>Tidak</v>
      </c>
      <c r="O36" s="2" t="str">
        <f>IF(ISNUMBER(SEARCH(LOWER([1]Sheet1!$O$1),LOWER(B36))),"Ya","Tidak")</f>
        <v>Tidak</v>
      </c>
      <c r="P36" s="2" t="str">
        <f>IF(ISNUMBER(SEARCH(LOWER([1]Sheet1!$P$1),LOWER(B36))),"Ya","Tidak")</f>
        <v>Tidak</v>
      </c>
      <c r="Q36" s="2" t="str">
        <f>IF(ISNUMBER(SEARCH(LOWER([1]Sheet1!$Q$1),LOWER(B36))),"Ya","Tidak")</f>
        <v>Tidak</v>
      </c>
      <c r="R36" s="2" t="str">
        <f>IF(ISNUMBER(SEARCH(LOWER([1]Sheet1!$R$1),LOWER(B36))),"Ya","Tidak")</f>
        <v>Tidak</v>
      </c>
      <c r="S36" s="19" t="s">
        <v>149</v>
      </c>
      <c r="T36" s="2" t="str">
        <f t="shared" si="0"/>
        <v>IIIB</v>
      </c>
      <c r="U36" s="2" t="str">
        <f t="shared" si="5"/>
        <v>KGB Regional tak dapat dinilai</v>
      </c>
      <c r="V36" s="22" t="s">
        <v>150</v>
      </c>
      <c r="W36" s="20" t="s">
        <v>151</v>
      </c>
      <c r="X36" s="18" t="s">
        <v>4</v>
      </c>
      <c r="Y36" s="2" t="str">
        <f t="shared" si="1"/>
        <v>&gt;5 cm dengan eksistensi langsung ke dinding dada/kulit</v>
      </c>
      <c r="Z36" s="18" t="s">
        <v>24</v>
      </c>
      <c r="AA36" s="19">
        <v>45096</v>
      </c>
      <c r="AB36" s="19">
        <v>45253</v>
      </c>
      <c r="AC36" s="2">
        <f t="shared" si="2"/>
        <v>158</v>
      </c>
      <c r="AD36" s="18">
        <v>30</v>
      </c>
      <c r="AE36" s="18" t="s">
        <v>152</v>
      </c>
      <c r="AF36" s="2" t="str">
        <f t="shared" si="3"/>
        <v>Tidak ada</v>
      </c>
      <c r="AG36" s="18"/>
      <c r="AH36" s="2" t="str">
        <f t="shared" si="4"/>
        <v>Tidak ada</v>
      </c>
    </row>
    <row r="37" spans="1:34" ht="39.5" x14ac:dyDescent="0.35">
      <c r="A37" s="18">
        <v>47</v>
      </c>
      <c r="B37" s="18" t="s">
        <v>129</v>
      </c>
      <c r="C37" s="2" t="str">
        <f>IF(ISNUMBER(SEARCH(LOWER([1]Sheet1!$C$1),LOWER(B37))),"Ya","Tidak")</f>
        <v>Ya</v>
      </c>
      <c r="D37" s="2" t="str">
        <f>IF(ISNUMBER(SEARCH(LOWER([1]Sheet1!$D$1),LOWER(B37))),"Ya","Tidak")</f>
        <v>Tidak</v>
      </c>
      <c r="E37" s="2" t="str">
        <f>IF(ISNUMBER(SEARCH(LOWER([1]Sheet1!$E$1),LOWER(B37))),"Ya","Tidak")</f>
        <v>Tidak</v>
      </c>
      <c r="F37" s="2" t="str">
        <f>IF(ISNUMBER(SEARCH(LOWER([1]Sheet1!$F$1),LOWER(B37))),"Ya","Tidak")</f>
        <v>Tidak</v>
      </c>
      <c r="G37" s="2" t="str">
        <f>IF(ISNUMBER(SEARCH(LOWER([1]Sheet1!$G$1),LOWER(B37))),"Ya","Tidak")</f>
        <v>Tidak</v>
      </c>
      <c r="H37" s="2" t="str">
        <f>IF(ISNUMBER(SEARCH(LOWER([1]Sheet1!$H$1),LOWER(B37))),"Ya","Tidak")</f>
        <v>Tidak</v>
      </c>
      <c r="I37" s="2" t="str">
        <f>IF(ISNUMBER(SEARCH(LOWER([1]Sheet1!$I$1),LOWER(B37))),"Ya","Tidak")</f>
        <v>Tidak</v>
      </c>
      <c r="J37" s="2" t="str">
        <f>IF(OR(ISNUMBER(SEARCH(LOWER([1]Sheet1!$J$1),LOWER(B37))), ISNUMBER(SEARCH("dm",LOWER(B37)))),"Ya","Tidak")</f>
        <v>Tidak</v>
      </c>
      <c r="K37" s="2" t="str">
        <f>IF(ISNUMBER(SEARCH(LOWER([1]Sheet1!$K$1),LOWER(B37))),"Ya","Tidak")</f>
        <v>Tidak</v>
      </c>
      <c r="L37" s="2" t="str">
        <f>IF(ISNUMBER(SEARCH(LOWER([1]Sheet1!$L$1),LOWER(B37))),"Ya","Tidak")</f>
        <v>Tidak</v>
      </c>
      <c r="M37" s="2" t="str">
        <f>IF(ISNUMBER(SEARCH(LOWER([1]Sheet1!$M$1),LOWER(B37))),"Ya","Tidak")</f>
        <v>Tidak</v>
      </c>
      <c r="N37" s="2" t="str">
        <f>IF(ISNUMBER(SEARCH(LOWER([1]Sheet1!$N$1),LOWER(B37))),"Ya","Tidak")</f>
        <v>Tidak</v>
      </c>
      <c r="O37" s="2" t="str">
        <f>IF(ISNUMBER(SEARCH(LOWER([1]Sheet1!$O$1),LOWER(B37))),"Ya","Tidak")</f>
        <v>Tidak</v>
      </c>
      <c r="P37" s="2" t="str">
        <f>IF(ISNUMBER(SEARCH(LOWER([1]Sheet1!$P$1),LOWER(B37))),"Ya","Tidak")</f>
        <v>Tidak</v>
      </c>
      <c r="Q37" s="2" t="str">
        <f>IF(ISNUMBER(SEARCH(LOWER([1]Sheet1!$Q$1),LOWER(B37))),"Ya","Tidak")</f>
        <v>Tidak</v>
      </c>
      <c r="R37" s="2" t="str">
        <f>IF(ISNUMBER(SEARCH(LOWER([1]Sheet1!$R$1),LOWER(B37))),"Ya","Tidak")</f>
        <v>Tidak</v>
      </c>
      <c r="S37" s="19" t="s">
        <v>149</v>
      </c>
      <c r="T37" s="2" t="str">
        <f t="shared" si="0"/>
        <v>IIIB</v>
      </c>
      <c r="U37" s="2" t="str">
        <f t="shared" si="5"/>
        <v>KGB Regional tak dapat dinilai</v>
      </c>
      <c r="V37" s="18" t="s">
        <v>150</v>
      </c>
      <c r="W37" s="20" t="s">
        <v>151</v>
      </c>
      <c r="X37" s="18" t="s">
        <v>4</v>
      </c>
      <c r="Y37" s="2" t="str">
        <f t="shared" si="1"/>
        <v>&gt;5 cm dengan eksistensi langsung ke dinding dada/kulit</v>
      </c>
      <c r="Z37" s="18" t="s">
        <v>24</v>
      </c>
      <c r="AA37" s="19">
        <v>45096</v>
      </c>
      <c r="AB37" s="19">
        <v>45163</v>
      </c>
      <c r="AC37" s="2">
        <f t="shared" si="2"/>
        <v>68</v>
      </c>
      <c r="AD37" s="18">
        <v>30</v>
      </c>
      <c r="AE37" s="18" t="s">
        <v>153</v>
      </c>
      <c r="AF37" s="2" t="str">
        <f t="shared" si="3"/>
        <v>Tidak ada</v>
      </c>
      <c r="AG37" s="18" t="s">
        <v>154</v>
      </c>
      <c r="AH37" s="2" t="str">
        <f t="shared" si="4"/>
        <v>Tidak ada</v>
      </c>
    </row>
    <row r="38" spans="1:34" ht="26.5" x14ac:dyDescent="0.35">
      <c r="A38" s="18">
        <v>52</v>
      </c>
      <c r="B38" s="18"/>
      <c r="C38" s="2" t="str">
        <f>IF(ISNUMBER(SEARCH(LOWER([1]Sheet1!$C$1),LOWER(B38))),"Ya","Tidak")</f>
        <v>Tidak</v>
      </c>
      <c r="D38" s="2" t="str">
        <f>IF(ISNUMBER(SEARCH(LOWER([1]Sheet1!$D$1),LOWER(B38))),"Ya","Tidak")</f>
        <v>Tidak</v>
      </c>
      <c r="E38" s="2" t="str">
        <f>IF(ISNUMBER(SEARCH(LOWER([1]Sheet1!$E$1),LOWER(B38))),"Ya","Tidak")</f>
        <v>Tidak</v>
      </c>
      <c r="F38" s="2" t="str">
        <f>IF(ISNUMBER(SEARCH(LOWER([1]Sheet1!$F$1),LOWER(B38))),"Ya","Tidak")</f>
        <v>Tidak</v>
      </c>
      <c r="G38" s="2" t="str">
        <f>IF(ISNUMBER(SEARCH(LOWER([1]Sheet1!$G$1),LOWER(B38))),"Ya","Tidak")</f>
        <v>Tidak</v>
      </c>
      <c r="H38" s="2" t="str">
        <f>IF(ISNUMBER(SEARCH(LOWER([1]Sheet1!$H$1),LOWER(B38))),"Ya","Tidak")</f>
        <v>Tidak</v>
      </c>
      <c r="I38" s="2" t="str">
        <f>IF(ISNUMBER(SEARCH(LOWER([1]Sheet1!$I$1),LOWER(B38))),"Ya","Tidak")</f>
        <v>Tidak</v>
      </c>
      <c r="J38" s="2" t="str">
        <f>IF(OR(ISNUMBER(SEARCH(LOWER([1]Sheet1!$J$1),LOWER(B38))), ISNUMBER(SEARCH("dm",LOWER(B38)))),"Ya","Tidak")</f>
        <v>Tidak</v>
      </c>
      <c r="K38" s="2" t="str">
        <f>IF(ISNUMBER(SEARCH(LOWER([1]Sheet1!$K$1),LOWER(B38))),"Ya","Tidak")</f>
        <v>Tidak</v>
      </c>
      <c r="L38" s="2" t="str">
        <f>IF(ISNUMBER(SEARCH(LOWER([1]Sheet1!$L$1),LOWER(B38))),"Ya","Tidak")</f>
        <v>Tidak</v>
      </c>
      <c r="M38" s="2" t="str">
        <f>IF(ISNUMBER(SEARCH(LOWER([1]Sheet1!$M$1),LOWER(B38))),"Ya","Tidak")</f>
        <v>Tidak</v>
      </c>
      <c r="N38" s="2" t="str">
        <f>IF(ISNUMBER(SEARCH(LOWER([1]Sheet1!$N$1),LOWER(B38))),"Ya","Tidak")</f>
        <v>Tidak</v>
      </c>
      <c r="O38" s="2" t="str">
        <f>IF(ISNUMBER(SEARCH(LOWER([1]Sheet1!$O$1),LOWER(B38))),"Ya","Tidak")</f>
        <v>Tidak</v>
      </c>
      <c r="P38" s="2" t="str">
        <f>IF(ISNUMBER(SEARCH(LOWER([1]Sheet1!$P$1),LOWER(B38))),"Ya","Tidak")</f>
        <v>Tidak</v>
      </c>
      <c r="Q38" s="2" t="str">
        <f>IF(ISNUMBER(SEARCH(LOWER([1]Sheet1!$Q$1),LOWER(B38))),"Ya","Tidak")</f>
        <v>Tidak</v>
      </c>
      <c r="R38" s="2" t="str">
        <f>IF(ISNUMBER(SEARCH(LOWER([1]Sheet1!$R$1),LOWER(B38))),"Ya","Tidak")</f>
        <v>Tidak</v>
      </c>
      <c r="S38" s="18" t="s">
        <v>155</v>
      </c>
      <c r="T38" s="2">
        <f t="shared" si="0"/>
        <v>0</v>
      </c>
      <c r="U38" s="2" t="str">
        <f t="shared" si="5"/>
        <v>Tidak ada metastasis KGB Regional</v>
      </c>
      <c r="V38" s="18" t="s">
        <v>156</v>
      </c>
      <c r="W38" s="23" t="s">
        <v>33</v>
      </c>
      <c r="X38" s="24" t="s">
        <v>157</v>
      </c>
      <c r="Y38" s="2">
        <f t="shared" si="1"/>
        <v>0</v>
      </c>
      <c r="Z38" s="18" t="s">
        <v>24</v>
      </c>
      <c r="AA38" s="19">
        <v>45152</v>
      </c>
      <c r="AB38" s="19">
        <v>45257</v>
      </c>
      <c r="AC38" s="2">
        <f t="shared" si="2"/>
        <v>106</v>
      </c>
      <c r="AD38" s="18">
        <v>30</v>
      </c>
      <c r="AE38" s="18" t="s">
        <v>158</v>
      </c>
      <c r="AF38" s="2" t="str">
        <f t="shared" si="3"/>
        <v>Tidak ada</v>
      </c>
      <c r="AG38" s="18" t="s">
        <v>159</v>
      </c>
      <c r="AH38" s="2" t="str">
        <f t="shared" si="4"/>
        <v>Ada</v>
      </c>
    </row>
    <row r="39" spans="1:34" ht="39.5" x14ac:dyDescent="0.35">
      <c r="A39" s="18">
        <v>44</v>
      </c>
      <c r="B39" s="18"/>
      <c r="C39" s="2" t="str">
        <f>IF(ISNUMBER(SEARCH(LOWER([1]Sheet1!$C$1),LOWER(B39))),"Ya","Tidak")</f>
        <v>Tidak</v>
      </c>
      <c r="D39" s="2" t="str">
        <f>IF(ISNUMBER(SEARCH(LOWER([1]Sheet1!$D$1),LOWER(B39))),"Ya","Tidak")</f>
        <v>Tidak</v>
      </c>
      <c r="E39" s="2" t="str">
        <f>IF(ISNUMBER(SEARCH(LOWER([1]Sheet1!$E$1),LOWER(B39))),"Ya","Tidak")</f>
        <v>Tidak</v>
      </c>
      <c r="F39" s="2" t="str">
        <f>IF(ISNUMBER(SEARCH(LOWER([1]Sheet1!$F$1),LOWER(B39))),"Ya","Tidak")</f>
        <v>Tidak</v>
      </c>
      <c r="G39" s="2" t="str">
        <f>IF(ISNUMBER(SEARCH(LOWER([1]Sheet1!$G$1),LOWER(B39))),"Ya","Tidak")</f>
        <v>Tidak</v>
      </c>
      <c r="H39" s="2" t="str">
        <f>IF(ISNUMBER(SEARCH(LOWER([1]Sheet1!$H$1),LOWER(B39))),"Ya","Tidak")</f>
        <v>Tidak</v>
      </c>
      <c r="I39" s="2" t="str">
        <f>IF(ISNUMBER(SEARCH(LOWER([1]Sheet1!$I$1),LOWER(B39))),"Ya","Tidak")</f>
        <v>Tidak</v>
      </c>
      <c r="J39" s="2" t="str">
        <f>IF(OR(ISNUMBER(SEARCH(LOWER([1]Sheet1!$J$1),LOWER(B39))), ISNUMBER(SEARCH("dm",LOWER(B39)))),"Ya","Tidak")</f>
        <v>Tidak</v>
      </c>
      <c r="K39" s="2" t="str">
        <f>IF(ISNUMBER(SEARCH(LOWER([1]Sheet1!$K$1),LOWER(B39))),"Ya","Tidak")</f>
        <v>Tidak</v>
      </c>
      <c r="L39" s="2" t="str">
        <f>IF(ISNUMBER(SEARCH(LOWER([1]Sheet1!$L$1),LOWER(B39))),"Ya","Tidak")</f>
        <v>Tidak</v>
      </c>
      <c r="M39" s="2" t="str">
        <f>IF(ISNUMBER(SEARCH(LOWER([1]Sheet1!$M$1),LOWER(B39))),"Ya","Tidak")</f>
        <v>Tidak</v>
      </c>
      <c r="N39" s="2" t="str">
        <f>IF(ISNUMBER(SEARCH(LOWER([1]Sheet1!$N$1),LOWER(B39))),"Ya","Tidak")</f>
        <v>Tidak</v>
      </c>
      <c r="O39" s="2" t="str">
        <f>IF(ISNUMBER(SEARCH(LOWER([1]Sheet1!$O$1),LOWER(B39))),"Ya","Tidak")</f>
        <v>Tidak</v>
      </c>
      <c r="P39" s="2" t="str">
        <f>IF(ISNUMBER(SEARCH(LOWER([1]Sheet1!$P$1),LOWER(B39))),"Ya","Tidak")</f>
        <v>Tidak</v>
      </c>
      <c r="Q39" s="2" t="str">
        <f>IF(ISNUMBER(SEARCH(LOWER([1]Sheet1!$Q$1),LOWER(B39))),"Ya","Tidak")</f>
        <v>Tidak</v>
      </c>
      <c r="R39" s="2" t="str">
        <f>IF(ISNUMBER(SEARCH(LOWER([1]Sheet1!$R$1),LOWER(B39))),"Ya","Tidak")</f>
        <v>Tidak</v>
      </c>
      <c r="S39" s="18" t="s">
        <v>160</v>
      </c>
      <c r="T39" s="2" t="str">
        <f t="shared" si="0"/>
        <v>IIIB</v>
      </c>
      <c r="U39" s="2" t="str">
        <f t="shared" si="5"/>
        <v>Tidak ada metastasis KGB Regional</v>
      </c>
      <c r="V39" s="18" t="s">
        <v>161</v>
      </c>
      <c r="W39" s="20" t="s">
        <v>162</v>
      </c>
      <c r="X39" s="18" t="s">
        <v>4</v>
      </c>
      <c r="Y39" s="2" t="str">
        <f t="shared" si="1"/>
        <v>&gt;5 cm dengan eksistensi langsung ke dinding dada/kulit</v>
      </c>
      <c r="Z39" s="18" t="s">
        <v>24</v>
      </c>
      <c r="AA39" s="19">
        <v>44966</v>
      </c>
      <c r="AB39" s="19">
        <v>45133</v>
      </c>
      <c r="AC39" s="2">
        <f t="shared" si="2"/>
        <v>168</v>
      </c>
      <c r="AD39" s="18">
        <v>30</v>
      </c>
      <c r="AE39" s="18" t="s">
        <v>163</v>
      </c>
      <c r="AF39" s="2" t="str">
        <f t="shared" si="3"/>
        <v>Tidak ada</v>
      </c>
      <c r="AG39" s="18" t="s">
        <v>164</v>
      </c>
      <c r="AH39" s="2" t="str">
        <f t="shared" si="4"/>
        <v>Tidak ada</v>
      </c>
    </row>
    <row r="40" spans="1:34" ht="26.5" x14ac:dyDescent="0.35">
      <c r="A40" s="18">
        <v>53</v>
      </c>
      <c r="B40" s="18"/>
      <c r="C40" s="2" t="str">
        <f>IF(ISNUMBER(SEARCH(LOWER([1]Sheet1!$C$1),LOWER(B40))),"Ya","Tidak")</f>
        <v>Tidak</v>
      </c>
      <c r="D40" s="2" t="str">
        <f>IF(ISNUMBER(SEARCH(LOWER([1]Sheet1!$D$1),LOWER(B40))),"Ya","Tidak")</f>
        <v>Tidak</v>
      </c>
      <c r="E40" s="2" t="str">
        <f>IF(ISNUMBER(SEARCH(LOWER([1]Sheet1!$E$1),LOWER(B40))),"Ya","Tidak")</f>
        <v>Tidak</v>
      </c>
      <c r="F40" s="2" t="str">
        <f>IF(ISNUMBER(SEARCH(LOWER([1]Sheet1!$F$1),LOWER(B40))),"Ya","Tidak")</f>
        <v>Tidak</v>
      </c>
      <c r="G40" s="2" t="str">
        <f>IF(ISNUMBER(SEARCH(LOWER([1]Sheet1!$G$1),LOWER(B40))),"Ya","Tidak")</f>
        <v>Tidak</v>
      </c>
      <c r="H40" s="2" t="str">
        <f>IF(ISNUMBER(SEARCH(LOWER([1]Sheet1!$H$1),LOWER(B40))),"Ya","Tidak")</f>
        <v>Tidak</v>
      </c>
      <c r="I40" s="2" t="str">
        <f>IF(ISNUMBER(SEARCH(LOWER([1]Sheet1!$I$1),LOWER(B40))),"Ya","Tidak")</f>
        <v>Tidak</v>
      </c>
      <c r="J40" s="2" t="str">
        <f>IF(OR(ISNUMBER(SEARCH(LOWER([1]Sheet1!$J$1),LOWER(B40))), ISNUMBER(SEARCH("dm",LOWER(B40)))),"Ya","Tidak")</f>
        <v>Tidak</v>
      </c>
      <c r="K40" s="2" t="str">
        <f>IF(ISNUMBER(SEARCH(LOWER([1]Sheet1!$K$1),LOWER(B40))),"Ya","Tidak")</f>
        <v>Tidak</v>
      </c>
      <c r="L40" s="2" t="str">
        <f>IF(ISNUMBER(SEARCH(LOWER([1]Sheet1!$L$1),LOWER(B40))),"Ya","Tidak")</f>
        <v>Tidak</v>
      </c>
      <c r="M40" s="2" t="str">
        <f>IF(ISNUMBER(SEARCH(LOWER([1]Sheet1!$M$1),LOWER(B40))),"Ya","Tidak")</f>
        <v>Tidak</v>
      </c>
      <c r="N40" s="2" t="str">
        <f>IF(ISNUMBER(SEARCH(LOWER([1]Sheet1!$N$1),LOWER(B40))),"Ya","Tidak")</f>
        <v>Tidak</v>
      </c>
      <c r="O40" s="2" t="str">
        <f>IF(ISNUMBER(SEARCH(LOWER([1]Sheet1!$O$1),LOWER(B40))),"Ya","Tidak")</f>
        <v>Tidak</v>
      </c>
      <c r="P40" s="2" t="str">
        <f>IF(ISNUMBER(SEARCH(LOWER([1]Sheet1!$P$1),LOWER(B40))),"Ya","Tidak")</f>
        <v>Tidak</v>
      </c>
      <c r="Q40" s="2" t="str">
        <f>IF(ISNUMBER(SEARCH(LOWER([1]Sheet1!$Q$1),LOWER(B40))),"Ya","Tidak")</f>
        <v>Tidak</v>
      </c>
      <c r="R40" s="2" t="str">
        <f>IF(ISNUMBER(SEARCH(LOWER([1]Sheet1!$R$1),LOWER(B40))),"Ya","Tidak")</f>
        <v>Tidak</v>
      </c>
      <c r="S40" s="19" t="s">
        <v>78</v>
      </c>
      <c r="T40" s="2" t="str">
        <f t="shared" si="0"/>
        <v>IIB</v>
      </c>
      <c r="U40" s="2" t="str">
        <f t="shared" si="5"/>
        <v>Tidak ada metastasis KGB Regional</v>
      </c>
      <c r="V40" s="18" t="s">
        <v>130</v>
      </c>
      <c r="W40" s="20" t="s">
        <v>165</v>
      </c>
      <c r="X40" s="18" t="s">
        <v>12</v>
      </c>
      <c r="Y40" s="2" t="str">
        <f t="shared" si="1"/>
        <v>&gt;5cm</v>
      </c>
      <c r="Z40" s="18" t="s">
        <v>24</v>
      </c>
      <c r="AA40" s="19">
        <v>45009</v>
      </c>
      <c r="AB40" s="19">
        <v>45134</v>
      </c>
      <c r="AC40" s="2">
        <f t="shared" si="2"/>
        <v>126</v>
      </c>
      <c r="AD40" s="18">
        <v>30</v>
      </c>
      <c r="AE40" s="18" t="s">
        <v>166</v>
      </c>
      <c r="AF40" s="2" t="str">
        <f t="shared" si="3"/>
        <v>Tidak ada</v>
      </c>
      <c r="AG40" s="18" t="s">
        <v>167</v>
      </c>
      <c r="AH40" s="2" t="str">
        <f t="shared" si="4"/>
        <v>Tidak ada</v>
      </c>
    </row>
    <row r="41" spans="1:34" ht="26.5" x14ac:dyDescent="0.35">
      <c r="A41" s="18">
        <v>54</v>
      </c>
      <c r="B41" s="18"/>
      <c r="C41" s="2" t="str">
        <f>IF(ISNUMBER(SEARCH(LOWER([1]Sheet1!$C$1),LOWER(B41))),"Ya","Tidak")</f>
        <v>Tidak</v>
      </c>
      <c r="D41" s="2" t="str">
        <f>IF(ISNUMBER(SEARCH(LOWER([1]Sheet1!$D$1),LOWER(B41))),"Ya","Tidak")</f>
        <v>Tidak</v>
      </c>
      <c r="E41" s="2" t="str">
        <f>IF(ISNUMBER(SEARCH(LOWER([1]Sheet1!$E$1),LOWER(B41))),"Ya","Tidak")</f>
        <v>Tidak</v>
      </c>
      <c r="F41" s="2" t="str">
        <f>IF(ISNUMBER(SEARCH(LOWER([1]Sheet1!$F$1),LOWER(B41))),"Ya","Tidak")</f>
        <v>Tidak</v>
      </c>
      <c r="G41" s="2" t="str">
        <f>IF(ISNUMBER(SEARCH(LOWER([1]Sheet1!$G$1),LOWER(B41))),"Ya","Tidak")</f>
        <v>Tidak</v>
      </c>
      <c r="H41" s="2" t="str">
        <f>IF(ISNUMBER(SEARCH(LOWER([1]Sheet1!$H$1),LOWER(B41))),"Ya","Tidak")</f>
        <v>Tidak</v>
      </c>
      <c r="I41" s="2" t="str">
        <f>IF(ISNUMBER(SEARCH(LOWER([1]Sheet1!$I$1),LOWER(B41))),"Ya","Tidak")</f>
        <v>Tidak</v>
      </c>
      <c r="J41" s="2" t="str">
        <f>IF(OR(ISNUMBER(SEARCH(LOWER([1]Sheet1!$J$1),LOWER(B41))), ISNUMBER(SEARCH("dm",LOWER(B41)))),"Ya","Tidak")</f>
        <v>Tidak</v>
      </c>
      <c r="K41" s="2" t="str">
        <f>IF(ISNUMBER(SEARCH(LOWER([1]Sheet1!$K$1),LOWER(B41))),"Ya","Tidak")</f>
        <v>Tidak</v>
      </c>
      <c r="L41" s="2" t="str">
        <f>IF(ISNUMBER(SEARCH(LOWER([1]Sheet1!$L$1),LOWER(B41))),"Ya","Tidak")</f>
        <v>Tidak</v>
      </c>
      <c r="M41" s="2" t="str">
        <f>IF(ISNUMBER(SEARCH(LOWER([1]Sheet1!$M$1),LOWER(B41))),"Ya","Tidak")</f>
        <v>Tidak</v>
      </c>
      <c r="N41" s="2" t="str">
        <f>IF(ISNUMBER(SEARCH(LOWER([1]Sheet1!$N$1),LOWER(B41))),"Ya","Tidak")</f>
        <v>Tidak</v>
      </c>
      <c r="O41" s="2" t="str">
        <f>IF(ISNUMBER(SEARCH(LOWER([1]Sheet1!$O$1),LOWER(B41))),"Ya","Tidak")</f>
        <v>Tidak</v>
      </c>
      <c r="P41" s="2" t="str">
        <f>IF(ISNUMBER(SEARCH(LOWER([1]Sheet1!$P$1),LOWER(B41))),"Ya","Tidak")</f>
        <v>Tidak</v>
      </c>
      <c r="Q41" s="2" t="str">
        <f>IF(ISNUMBER(SEARCH(LOWER([1]Sheet1!$Q$1),LOWER(B41))),"Ya","Tidak")</f>
        <v>Tidak</v>
      </c>
      <c r="R41" s="2" t="str">
        <f>IF(ISNUMBER(SEARCH(LOWER([1]Sheet1!$R$1),LOWER(B41))),"Ya","Tidak")</f>
        <v>Tidak</v>
      </c>
      <c r="S41" s="25" t="s">
        <v>112</v>
      </c>
      <c r="T41" s="2" t="str">
        <f t="shared" si="0"/>
        <v>IIB</v>
      </c>
      <c r="U41" s="2" t="str">
        <f t="shared" si="5"/>
        <v>1-3 KGB aksila</v>
      </c>
      <c r="V41" s="22" t="s">
        <v>168</v>
      </c>
      <c r="W41" s="20" t="s">
        <v>169</v>
      </c>
      <c r="X41" s="18" t="s">
        <v>17</v>
      </c>
      <c r="Y41" s="2" t="str">
        <f t="shared" si="1"/>
        <v>&gt;2 cm - &lt;5cm</v>
      </c>
      <c r="Z41" s="18" t="s">
        <v>24</v>
      </c>
      <c r="AA41" s="19">
        <v>44907</v>
      </c>
      <c r="AB41" s="19">
        <v>45021</v>
      </c>
      <c r="AC41" s="2">
        <f t="shared" si="2"/>
        <v>115</v>
      </c>
      <c r="AD41" s="18">
        <v>25</v>
      </c>
      <c r="AE41" s="18"/>
      <c r="AF41" s="2" t="str">
        <f t="shared" si="3"/>
        <v>Tidak ada</v>
      </c>
      <c r="AG41" s="18" t="s">
        <v>170</v>
      </c>
      <c r="AH41" s="2" t="str">
        <f t="shared" si="4"/>
        <v>Tidak ada</v>
      </c>
    </row>
    <row r="42" spans="1:34" ht="39.5" x14ac:dyDescent="0.35">
      <c r="A42" s="18">
        <v>42</v>
      </c>
      <c r="B42" s="18"/>
      <c r="C42" s="2" t="str">
        <f>IF(ISNUMBER(SEARCH(LOWER([1]Sheet1!$C$1),LOWER(B42))),"Ya","Tidak")</f>
        <v>Tidak</v>
      </c>
      <c r="D42" s="2" t="str">
        <f>IF(ISNUMBER(SEARCH(LOWER([1]Sheet1!$D$1),LOWER(B42))),"Ya","Tidak")</f>
        <v>Tidak</v>
      </c>
      <c r="E42" s="2" t="str">
        <f>IF(ISNUMBER(SEARCH(LOWER([1]Sheet1!$E$1),LOWER(B42))),"Ya","Tidak")</f>
        <v>Tidak</v>
      </c>
      <c r="F42" s="2" t="str">
        <f>IF(ISNUMBER(SEARCH(LOWER([1]Sheet1!$F$1),LOWER(B42))),"Ya","Tidak")</f>
        <v>Tidak</v>
      </c>
      <c r="G42" s="2" t="str">
        <f>IF(ISNUMBER(SEARCH(LOWER([1]Sheet1!$G$1),LOWER(B42))),"Ya","Tidak")</f>
        <v>Tidak</v>
      </c>
      <c r="H42" s="2" t="str">
        <f>IF(ISNUMBER(SEARCH(LOWER([1]Sheet1!$H$1),LOWER(B42))),"Ya","Tidak")</f>
        <v>Tidak</v>
      </c>
      <c r="I42" s="2" t="str">
        <f>IF(ISNUMBER(SEARCH(LOWER([1]Sheet1!$I$1),LOWER(B42))),"Ya","Tidak")</f>
        <v>Tidak</v>
      </c>
      <c r="J42" s="2" t="str">
        <f>IF(OR(ISNUMBER(SEARCH(LOWER([1]Sheet1!$J$1),LOWER(B42))), ISNUMBER(SEARCH("dm",LOWER(B42)))),"Ya","Tidak")</f>
        <v>Tidak</v>
      </c>
      <c r="K42" s="2" t="str">
        <f>IF(ISNUMBER(SEARCH(LOWER([1]Sheet1!$K$1),LOWER(B42))),"Ya","Tidak")</f>
        <v>Tidak</v>
      </c>
      <c r="L42" s="2" t="str">
        <f>IF(ISNUMBER(SEARCH(LOWER([1]Sheet1!$L$1),LOWER(B42))),"Ya","Tidak")</f>
        <v>Tidak</v>
      </c>
      <c r="M42" s="2" t="str">
        <f>IF(ISNUMBER(SEARCH(LOWER([1]Sheet1!$M$1),LOWER(B42))),"Ya","Tidak")</f>
        <v>Tidak</v>
      </c>
      <c r="N42" s="2" t="str">
        <f>IF(ISNUMBER(SEARCH(LOWER([1]Sheet1!$N$1),LOWER(B42))),"Ya","Tidak")</f>
        <v>Tidak</v>
      </c>
      <c r="O42" s="2" t="str">
        <f>IF(ISNUMBER(SEARCH(LOWER([1]Sheet1!$O$1),LOWER(B42))),"Ya","Tidak")</f>
        <v>Tidak</v>
      </c>
      <c r="P42" s="2" t="str">
        <f>IF(ISNUMBER(SEARCH(LOWER([1]Sheet1!$P$1),LOWER(B42))),"Ya","Tidak")</f>
        <v>Tidak</v>
      </c>
      <c r="Q42" s="2" t="str">
        <f>IF(ISNUMBER(SEARCH(LOWER([1]Sheet1!$Q$1),LOWER(B42))),"Ya","Tidak")</f>
        <v>Tidak</v>
      </c>
      <c r="R42" s="2" t="str">
        <f>IF(ISNUMBER(SEARCH(LOWER([1]Sheet1!$R$1),LOWER(B42))),"Ya","Tidak")</f>
        <v>Tidak</v>
      </c>
      <c r="S42" s="26" t="s">
        <v>171</v>
      </c>
      <c r="T42" s="2" t="str">
        <f t="shared" si="0"/>
        <v>IIIB</v>
      </c>
      <c r="U42" s="2" t="str">
        <f t="shared" si="5"/>
        <v>Metastasis pada KGB aksila ipsilateral</v>
      </c>
      <c r="V42" s="18" t="s">
        <v>172</v>
      </c>
      <c r="W42" s="20" t="s">
        <v>173</v>
      </c>
      <c r="X42" s="18" t="s">
        <v>4</v>
      </c>
      <c r="Y42" s="2" t="str">
        <f t="shared" si="1"/>
        <v>&gt;5 cm dengan eksistensi langsung ke dinding dada/kulit</v>
      </c>
      <c r="Z42" s="18" t="s">
        <v>24</v>
      </c>
      <c r="AA42" s="19">
        <v>45068</v>
      </c>
      <c r="AB42" s="19">
        <v>45160</v>
      </c>
      <c r="AC42" s="2">
        <f t="shared" si="2"/>
        <v>93</v>
      </c>
      <c r="AD42" s="18">
        <v>25</v>
      </c>
      <c r="AE42" s="18" t="s">
        <v>174</v>
      </c>
      <c r="AF42" s="2" t="str">
        <f t="shared" si="3"/>
        <v>Ada</v>
      </c>
      <c r="AG42" s="18"/>
      <c r="AH42" s="2" t="str">
        <f t="shared" si="4"/>
        <v>Tidak ada</v>
      </c>
    </row>
    <row r="43" spans="1:34" ht="39.5" x14ac:dyDescent="0.35">
      <c r="A43" s="18">
        <v>60</v>
      </c>
      <c r="B43" s="18" t="s">
        <v>175</v>
      </c>
      <c r="C43" s="2" t="str">
        <f>IF(ISNUMBER(SEARCH(LOWER([1]Sheet1!$C$1),LOWER(B43))),"Ya","Tidak")</f>
        <v>Tidak</v>
      </c>
      <c r="D43" s="2" t="str">
        <f>IF(ISNUMBER(SEARCH(LOWER([1]Sheet1!$D$1),LOWER(B43))),"Ya","Tidak")</f>
        <v>Tidak</v>
      </c>
      <c r="E43" s="2" t="str">
        <f>IF(ISNUMBER(SEARCH(LOWER([1]Sheet1!$E$1),LOWER(B43))),"Ya","Tidak")</f>
        <v>Tidak</v>
      </c>
      <c r="F43" s="2" t="str">
        <f>IF(ISNUMBER(SEARCH(LOWER([1]Sheet1!$F$1),LOWER(B43))),"Ya","Tidak")</f>
        <v>Tidak</v>
      </c>
      <c r="G43" s="2" t="str">
        <f>IF(ISNUMBER(SEARCH(LOWER([1]Sheet1!$G$1),LOWER(B43))),"Ya","Tidak")</f>
        <v>Tidak</v>
      </c>
      <c r="H43" s="2" t="str">
        <f>IF(ISNUMBER(SEARCH(LOWER([1]Sheet1!$H$1),LOWER(B43))),"Ya","Tidak")</f>
        <v>Tidak</v>
      </c>
      <c r="I43" s="2" t="str">
        <f>IF(ISNUMBER(SEARCH(LOWER([1]Sheet1!$I$1),LOWER(B43))),"Ya","Tidak")</f>
        <v>Tidak</v>
      </c>
      <c r="J43" s="2" t="str">
        <f>IF(OR(ISNUMBER(SEARCH(LOWER([1]Sheet1!$J$1),LOWER(B43))), ISNUMBER(SEARCH("dm",LOWER(B43)))),"Ya","Tidak")</f>
        <v>Ya</v>
      </c>
      <c r="K43" s="2" t="str">
        <f>IF(ISNUMBER(SEARCH(LOWER([1]Sheet1!$K$1),LOWER(B43))),"Ya","Tidak")</f>
        <v>Tidak</v>
      </c>
      <c r="L43" s="2" t="str">
        <f>IF(ISNUMBER(SEARCH(LOWER([1]Sheet1!$L$1),LOWER(B43))),"Ya","Tidak")</f>
        <v>Tidak</v>
      </c>
      <c r="M43" s="2" t="str">
        <f>IF(ISNUMBER(SEARCH(LOWER([1]Sheet1!$M$1),LOWER(B43))),"Ya","Tidak")</f>
        <v>Tidak</v>
      </c>
      <c r="N43" s="2" t="str">
        <f>IF(ISNUMBER(SEARCH(LOWER([1]Sheet1!$N$1),LOWER(B43))),"Ya","Tidak")</f>
        <v>Tidak</v>
      </c>
      <c r="O43" s="2" t="str">
        <f>IF(ISNUMBER(SEARCH(LOWER([1]Sheet1!$O$1),LOWER(B43))),"Ya","Tidak")</f>
        <v>Tidak</v>
      </c>
      <c r="P43" s="2" t="str">
        <f>IF(ISNUMBER(SEARCH(LOWER([1]Sheet1!$P$1),LOWER(B43))),"Ya","Tidak")</f>
        <v>Tidak</v>
      </c>
      <c r="Q43" s="2" t="str">
        <f>IF(ISNUMBER(SEARCH(LOWER([1]Sheet1!$Q$1),LOWER(B43))),"Ya","Tidak")</f>
        <v>Tidak</v>
      </c>
      <c r="R43" s="2" t="str">
        <f>IF(ISNUMBER(SEARCH(LOWER([1]Sheet1!$R$1),LOWER(B43))),"Ya","Tidak")</f>
        <v>Tidak</v>
      </c>
      <c r="S43" s="26" t="s">
        <v>171</v>
      </c>
      <c r="T43" s="2" t="str">
        <f t="shared" si="0"/>
        <v>IIIB</v>
      </c>
      <c r="U43" s="2" t="str">
        <f t="shared" si="5"/>
        <v>Metastasis pada KGB aksila ipsilateral</v>
      </c>
      <c r="V43" s="18" t="s">
        <v>176</v>
      </c>
      <c r="W43" s="20" t="s">
        <v>122</v>
      </c>
      <c r="X43" s="18" t="s">
        <v>4</v>
      </c>
      <c r="Y43" s="2" t="str">
        <f t="shared" si="1"/>
        <v>&gt;5 cm dengan eksistensi langsung ke dinding dada/kulit</v>
      </c>
      <c r="Z43" s="18" t="s">
        <v>24</v>
      </c>
      <c r="AA43" s="19">
        <v>45146</v>
      </c>
      <c r="AB43" s="19">
        <v>45259</v>
      </c>
      <c r="AC43" s="2">
        <f t="shared" si="2"/>
        <v>114</v>
      </c>
      <c r="AD43" s="18">
        <v>30</v>
      </c>
      <c r="AE43" s="18" t="s">
        <v>177</v>
      </c>
      <c r="AF43" s="2" t="str">
        <f t="shared" si="3"/>
        <v>Ada</v>
      </c>
      <c r="AG43" s="18"/>
      <c r="AH43" s="2" t="str">
        <f t="shared" si="4"/>
        <v>Tidak ada</v>
      </c>
    </row>
    <row r="44" spans="1:34" ht="39.5" x14ac:dyDescent="0.35">
      <c r="A44" s="18">
        <v>51</v>
      </c>
      <c r="B44" s="18" t="s">
        <v>138</v>
      </c>
      <c r="C44" s="2" t="str">
        <f>IF(ISNUMBER(SEARCH(LOWER([1]Sheet1!$C$1),LOWER(B44))),"Ya","Tidak")</f>
        <v>Ya</v>
      </c>
      <c r="D44" s="2" t="str">
        <f>IF(ISNUMBER(SEARCH(LOWER([1]Sheet1!$D$1),LOWER(B44))),"Ya","Tidak")</f>
        <v>Tidak</v>
      </c>
      <c r="E44" s="2" t="str">
        <f>IF(ISNUMBER(SEARCH(LOWER([1]Sheet1!$E$1),LOWER(B44))),"Ya","Tidak")</f>
        <v>Tidak</v>
      </c>
      <c r="F44" s="2" t="str">
        <f>IF(ISNUMBER(SEARCH(LOWER([1]Sheet1!$F$1),LOWER(B44))),"Ya","Tidak")</f>
        <v>Tidak</v>
      </c>
      <c r="G44" s="2" t="str">
        <f>IF(ISNUMBER(SEARCH(LOWER([1]Sheet1!$G$1),LOWER(B44))),"Ya","Tidak")</f>
        <v>Tidak</v>
      </c>
      <c r="H44" s="2" t="str">
        <f>IF(ISNUMBER(SEARCH(LOWER([1]Sheet1!$H$1),LOWER(B44))),"Ya","Tidak")</f>
        <v>Tidak</v>
      </c>
      <c r="I44" s="2" t="str">
        <f>IF(ISNUMBER(SEARCH(LOWER([1]Sheet1!$I$1),LOWER(B44))),"Ya","Tidak")</f>
        <v>Tidak</v>
      </c>
      <c r="J44" s="2" t="str">
        <f>IF(OR(ISNUMBER(SEARCH(LOWER([1]Sheet1!$J$1),LOWER(B44))), ISNUMBER(SEARCH("dm",LOWER(B44)))),"Ya","Tidak")</f>
        <v>Tidak</v>
      </c>
      <c r="K44" s="2" t="str">
        <f>IF(ISNUMBER(SEARCH(LOWER([1]Sheet1!$K$1),LOWER(B44))),"Ya","Tidak")</f>
        <v>Tidak</v>
      </c>
      <c r="L44" s="2" t="str">
        <f>IF(ISNUMBER(SEARCH(LOWER([1]Sheet1!$L$1),LOWER(B44))),"Ya","Tidak")</f>
        <v>Tidak</v>
      </c>
      <c r="M44" s="2" t="str">
        <f>IF(ISNUMBER(SEARCH(LOWER([1]Sheet1!$M$1),LOWER(B44))),"Ya","Tidak")</f>
        <v>Tidak</v>
      </c>
      <c r="N44" s="2" t="str">
        <f>IF(ISNUMBER(SEARCH(LOWER([1]Sheet1!$N$1),LOWER(B44))),"Ya","Tidak")</f>
        <v>Tidak</v>
      </c>
      <c r="O44" s="2" t="str">
        <f>IF(ISNUMBER(SEARCH(LOWER([1]Sheet1!$O$1),LOWER(B44))),"Ya","Tidak")</f>
        <v>Tidak</v>
      </c>
      <c r="P44" s="2" t="str">
        <f>IF(ISNUMBER(SEARCH(LOWER([1]Sheet1!$P$1),LOWER(B44))),"Ya","Tidak")</f>
        <v>Tidak</v>
      </c>
      <c r="Q44" s="2" t="str">
        <f>IF(ISNUMBER(SEARCH(LOWER([1]Sheet1!$Q$1),LOWER(B44))),"Ya","Tidak")</f>
        <v>Tidak</v>
      </c>
      <c r="R44" s="2" t="str">
        <f>IF(ISNUMBER(SEARCH(LOWER([1]Sheet1!$R$1),LOWER(B44))),"Ya","Tidak")</f>
        <v>Tidak</v>
      </c>
      <c r="S44" s="26" t="s">
        <v>171</v>
      </c>
      <c r="T44" s="2" t="str">
        <f t="shared" si="0"/>
        <v>IIIB</v>
      </c>
      <c r="U44" s="2" t="str">
        <f t="shared" si="5"/>
        <v>Metastasis pada KGB aksila ipsilateral</v>
      </c>
      <c r="V44" s="22" t="s">
        <v>178</v>
      </c>
      <c r="W44" s="20" t="s">
        <v>162</v>
      </c>
      <c r="X44" s="18" t="s">
        <v>4</v>
      </c>
      <c r="Y44" s="2" t="str">
        <f t="shared" si="1"/>
        <v>&gt;5 cm dengan eksistensi langsung ke dinding dada/kulit</v>
      </c>
      <c r="Z44" s="18" t="s">
        <v>24</v>
      </c>
      <c r="AA44" s="26">
        <v>45218</v>
      </c>
      <c r="AB44" s="19">
        <v>45328</v>
      </c>
      <c r="AC44" s="2">
        <f t="shared" si="2"/>
        <v>111</v>
      </c>
      <c r="AD44" s="18">
        <v>25</v>
      </c>
      <c r="AE44" s="18" t="s">
        <v>179</v>
      </c>
      <c r="AF44" s="2" t="str">
        <f t="shared" si="3"/>
        <v>Tidak ada</v>
      </c>
      <c r="AG44" s="18"/>
      <c r="AH44" s="2" t="str">
        <f t="shared" si="4"/>
        <v>Tidak ada</v>
      </c>
    </row>
    <row r="45" spans="1:34" ht="26.5" x14ac:dyDescent="0.35">
      <c r="A45" s="18">
        <v>59</v>
      </c>
      <c r="B45" s="18"/>
      <c r="C45" s="2" t="str">
        <f>IF(ISNUMBER(SEARCH(LOWER([1]Sheet1!$C$1),LOWER(B45))),"Ya","Tidak")</f>
        <v>Tidak</v>
      </c>
      <c r="D45" s="2" t="str">
        <f>IF(ISNUMBER(SEARCH(LOWER([1]Sheet1!$D$1),LOWER(B45))),"Ya","Tidak")</f>
        <v>Tidak</v>
      </c>
      <c r="E45" s="2" t="str">
        <f>IF(ISNUMBER(SEARCH(LOWER([1]Sheet1!$E$1),LOWER(B45))),"Ya","Tidak")</f>
        <v>Tidak</v>
      </c>
      <c r="F45" s="2" t="str">
        <f>IF(ISNUMBER(SEARCH(LOWER([1]Sheet1!$F$1),LOWER(B45))),"Ya","Tidak")</f>
        <v>Tidak</v>
      </c>
      <c r="G45" s="2" t="str">
        <f>IF(ISNUMBER(SEARCH(LOWER([1]Sheet1!$G$1),LOWER(B45))),"Ya","Tidak")</f>
        <v>Tidak</v>
      </c>
      <c r="H45" s="2" t="str">
        <f>IF(ISNUMBER(SEARCH(LOWER([1]Sheet1!$H$1),LOWER(B45))),"Ya","Tidak")</f>
        <v>Tidak</v>
      </c>
      <c r="I45" s="2" t="str">
        <f>IF(ISNUMBER(SEARCH(LOWER([1]Sheet1!$I$1),LOWER(B45))),"Ya","Tidak")</f>
        <v>Tidak</v>
      </c>
      <c r="J45" s="2" t="str">
        <f>IF(OR(ISNUMBER(SEARCH(LOWER([1]Sheet1!$J$1),LOWER(B45))), ISNUMBER(SEARCH("dm",LOWER(B45)))),"Ya","Tidak")</f>
        <v>Tidak</v>
      </c>
      <c r="K45" s="2" t="str">
        <f>IF(ISNUMBER(SEARCH(LOWER([1]Sheet1!$K$1),LOWER(B45))),"Ya","Tidak")</f>
        <v>Tidak</v>
      </c>
      <c r="L45" s="2" t="str">
        <f>IF(ISNUMBER(SEARCH(LOWER([1]Sheet1!$L$1),LOWER(B45))),"Ya","Tidak")</f>
        <v>Tidak</v>
      </c>
      <c r="M45" s="2" t="str">
        <f>IF(ISNUMBER(SEARCH(LOWER([1]Sheet1!$M$1),LOWER(B45))),"Ya","Tidak")</f>
        <v>Tidak</v>
      </c>
      <c r="N45" s="2" t="str">
        <f>IF(ISNUMBER(SEARCH(LOWER([1]Sheet1!$N$1),LOWER(B45))),"Ya","Tidak")</f>
        <v>Tidak</v>
      </c>
      <c r="O45" s="2" t="str">
        <f>IF(ISNUMBER(SEARCH(LOWER([1]Sheet1!$O$1),LOWER(B45))),"Ya","Tidak")</f>
        <v>Tidak</v>
      </c>
      <c r="P45" s="2" t="str">
        <f>IF(ISNUMBER(SEARCH(LOWER([1]Sheet1!$P$1),LOWER(B45))),"Ya","Tidak")</f>
        <v>Tidak</v>
      </c>
      <c r="Q45" s="2" t="str">
        <f>IF(ISNUMBER(SEARCH(LOWER([1]Sheet1!$Q$1),LOWER(B45))),"Ya","Tidak")</f>
        <v>Tidak</v>
      </c>
      <c r="R45" s="2" t="str">
        <f>IF(ISNUMBER(SEARCH(LOWER([1]Sheet1!$R$1),LOWER(B45))),"Ya","Tidak")</f>
        <v>Tidak</v>
      </c>
      <c r="S45" s="21" t="s">
        <v>14</v>
      </c>
      <c r="T45" s="2" t="str">
        <f t="shared" si="0"/>
        <v>IIA</v>
      </c>
      <c r="U45" s="2" t="str">
        <f t="shared" si="5"/>
        <v>Tidak ada metastasis KGB Regional</v>
      </c>
      <c r="V45" s="18" t="s">
        <v>180</v>
      </c>
      <c r="W45" s="20" t="s">
        <v>169</v>
      </c>
      <c r="X45" s="18" t="s">
        <v>17</v>
      </c>
      <c r="Y45" s="2" t="str">
        <f t="shared" si="1"/>
        <v>&gt;2 cm - &lt;5cm</v>
      </c>
      <c r="Z45" s="18" t="s">
        <v>24</v>
      </c>
      <c r="AA45" s="21">
        <v>45135</v>
      </c>
      <c r="AB45" s="21">
        <v>45236</v>
      </c>
      <c r="AC45" s="2">
        <f t="shared" si="2"/>
        <v>102</v>
      </c>
      <c r="AD45" s="18">
        <v>25</v>
      </c>
      <c r="AE45" s="18" t="s">
        <v>181</v>
      </c>
      <c r="AF45" s="2" t="str">
        <f t="shared" si="3"/>
        <v>Tidak ada</v>
      </c>
      <c r="AG45" s="18"/>
      <c r="AH45" s="2" t="str">
        <f t="shared" si="4"/>
        <v>Tidak ada</v>
      </c>
    </row>
    <row r="46" spans="1:34" ht="26.5" x14ac:dyDescent="0.35">
      <c r="A46" s="18">
        <v>59</v>
      </c>
      <c r="B46" s="18" t="s">
        <v>182</v>
      </c>
      <c r="C46" s="2" t="str">
        <f>IF(ISNUMBER(SEARCH(LOWER([1]Sheet1!$C$1),LOWER(B46))),"Ya","Tidak")</f>
        <v>Ya</v>
      </c>
      <c r="D46" s="2" t="str">
        <f>IF(ISNUMBER(SEARCH(LOWER([1]Sheet1!$D$1),LOWER(B46))),"Ya","Tidak")</f>
        <v>Tidak</v>
      </c>
      <c r="E46" s="2" t="str">
        <f>IF(ISNUMBER(SEARCH(LOWER([1]Sheet1!$E$1),LOWER(B46))),"Ya","Tidak")</f>
        <v>Tidak</v>
      </c>
      <c r="F46" s="2" t="str">
        <f>IF(ISNUMBER(SEARCH(LOWER([1]Sheet1!$F$1),LOWER(B46))),"Ya","Tidak")</f>
        <v>Tidak</v>
      </c>
      <c r="G46" s="2" t="str">
        <f>IF(ISNUMBER(SEARCH(LOWER([1]Sheet1!$G$1),LOWER(B46))),"Ya","Tidak")</f>
        <v>Tidak</v>
      </c>
      <c r="H46" s="2" t="str">
        <f>IF(ISNUMBER(SEARCH(LOWER([1]Sheet1!$H$1),LOWER(B46))),"Ya","Tidak")</f>
        <v>Tidak</v>
      </c>
      <c r="I46" s="2" t="str">
        <f>IF(ISNUMBER(SEARCH(LOWER([1]Sheet1!$I$1),LOWER(B46))),"Ya","Tidak")</f>
        <v>Tidak</v>
      </c>
      <c r="J46" s="2" t="str">
        <f>IF(OR(ISNUMBER(SEARCH(LOWER([1]Sheet1!$J$1),LOWER(B46))), ISNUMBER(SEARCH("dm",LOWER(B46)))),"Ya","Tidak")</f>
        <v>Ya</v>
      </c>
      <c r="K46" s="2" t="str">
        <f>IF(ISNUMBER(SEARCH(LOWER([1]Sheet1!$K$1),LOWER(B46))),"Ya","Tidak")</f>
        <v>Tidak</v>
      </c>
      <c r="L46" s="2" t="str">
        <f>IF(ISNUMBER(SEARCH(LOWER([1]Sheet1!$L$1),LOWER(B46))),"Ya","Tidak")</f>
        <v>Tidak</v>
      </c>
      <c r="M46" s="2" t="str">
        <f>IF(ISNUMBER(SEARCH(LOWER([1]Sheet1!$M$1),LOWER(B46))),"Ya","Tidak")</f>
        <v>Tidak</v>
      </c>
      <c r="N46" s="2" t="str">
        <f>IF(ISNUMBER(SEARCH(LOWER([1]Sheet1!$N$1),LOWER(B46))),"Ya","Tidak")</f>
        <v>Tidak</v>
      </c>
      <c r="O46" s="2" t="str">
        <f>IF(ISNUMBER(SEARCH(LOWER([1]Sheet1!$O$1),LOWER(B46))),"Ya","Tidak")</f>
        <v>Tidak</v>
      </c>
      <c r="P46" s="2" t="str">
        <f>IF(ISNUMBER(SEARCH(LOWER([1]Sheet1!$P$1),LOWER(B46))),"Ya","Tidak")</f>
        <v>Tidak</v>
      </c>
      <c r="Q46" s="2" t="str">
        <f>IF(ISNUMBER(SEARCH(LOWER([1]Sheet1!$Q$1),LOWER(B46))),"Ya","Tidak")</f>
        <v>Tidak</v>
      </c>
      <c r="R46" s="2" t="str">
        <f>IF(ISNUMBER(SEARCH(LOWER([1]Sheet1!$R$1),LOWER(B46))),"Ya","Tidak")</f>
        <v>Tidak</v>
      </c>
      <c r="S46" s="21" t="s">
        <v>183</v>
      </c>
      <c r="T46" s="2" t="str">
        <f t="shared" si="0"/>
        <v>IIIB</v>
      </c>
      <c r="U46" s="2" t="str">
        <f t="shared" si="5"/>
        <v>Metastasis pada KGB aksila ipsilateral</v>
      </c>
      <c r="V46" s="18" t="s">
        <v>184</v>
      </c>
      <c r="W46" s="20" t="s">
        <v>185</v>
      </c>
      <c r="X46" s="18" t="s">
        <v>17</v>
      </c>
      <c r="Y46" s="2" t="str">
        <f t="shared" si="1"/>
        <v>&gt;2 cm - &lt;5cm</v>
      </c>
      <c r="Z46" s="18" t="s">
        <v>24</v>
      </c>
      <c r="AA46" s="21">
        <v>44831</v>
      </c>
      <c r="AB46" s="21">
        <v>44936</v>
      </c>
      <c r="AC46" s="2">
        <f t="shared" si="2"/>
        <v>106</v>
      </c>
      <c r="AD46" s="18">
        <v>25</v>
      </c>
      <c r="AE46" s="18" t="s">
        <v>186</v>
      </c>
      <c r="AF46" s="2" t="str">
        <f t="shared" si="3"/>
        <v>Tidak ada</v>
      </c>
      <c r="AG46" s="18"/>
      <c r="AH46" s="2" t="str">
        <f t="shared" si="4"/>
        <v>Tidak ada</v>
      </c>
    </row>
    <row r="47" spans="1:34" ht="46.5" x14ac:dyDescent="0.35">
      <c r="A47" s="27">
        <v>54</v>
      </c>
      <c r="B47" s="28" t="s">
        <v>187</v>
      </c>
      <c r="C47" s="2" t="str">
        <f>IF(ISNUMBER(SEARCH(LOWER([1]Sheet1!$C$1),LOWER(B47))),"Ya","Tidak")</f>
        <v>Ya</v>
      </c>
      <c r="D47" s="2" t="str">
        <f>IF(ISNUMBER(SEARCH(LOWER([1]Sheet1!$D$1),LOWER(B47))),"Ya","Tidak")</f>
        <v>Tidak</v>
      </c>
      <c r="E47" s="2" t="str">
        <f>IF(ISNUMBER(SEARCH(LOWER([1]Sheet1!$E$1),LOWER(B47))),"Ya","Tidak")</f>
        <v>Tidak</v>
      </c>
      <c r="F47" s="2" t="str">
        <f>IF(ISNUMBER(SEARCH(LOWER([1]Sheet1!$F$1),LOWER(B47))),"Ya","Tidak")</f>
        <v>Tidak</v>
      </c>
      <c r="G47" s="2" t="str">
        <f>IF(ISNUMBER(SEARCH(LOWER([1]Sheet1!$G$1),LOWER(B47))),"Ya","Tidak")</f>
        <v>Tidak</v>
      </c>
      <c r="H47" s="2" t="str">
        <f>IF(ISNUMBER(SEARCH(LOWER([1]Sheet1!$H$1),LOWER(B47))),"Ya","Tidak")</f>
        <v>Tidak</v>
      </c>
      <c r="I47" s="2" t="str">
        <f>IF(ISNUMBER(SEARCH(LOWER([1]Sheet1!$I$1),LOWER(B47))),"Ya","Tidak")</f>
        <v>Tidak</v>
      </c>
      <c r="J47" s="2" t="str">
        <f>IF(OR(ISNUMBER(SEARCH(LOWER([1]Sheet1!$J$1),LOWER(B47))), ISNUMBER(SEARCH("dm",LOWER(B47)))),"Ya","Tidak")</f>
        <v>Ya</v>
      </c>
      <c r="K47" s="2" t="str">
        <f>IF(ISNUMBER(SEARCH(LOWER([1]Sheet1!$K$1),LOWER(B47))),"Ya","Tidak")</f>
        <v>Tidak</v>
      </c>
      <c r="L47" s="2" t="str">
        <f>IF(ISNUMBER(SEARCH(LOWER([1]Sheet1!$L$1),LOWER(B47))),"Ya","Tidak")</f>
        <v>Tidak</v>
      </c>
      <c r="M47" s="2" t="str">
        <f>IF(ISNUMBER(SEARCH(LOWER([1]Sheet1!$M$1),LOWER(B47))),"Ya","Tidak")</f>
        <v>Tidak</v>
      </c>
      <c r="N47" s="2" t="str">
        <f>IF(ISNUMBER(SEARCH(LOWER([1]Sheet1!$N$1),LOWER(B47))),"Ya","Tidak")</f>
        <v>Tidak</v>
      </c>
      <c r="O47" s="2" t="str">
        <f>IF(ISNUMBER(SEARCH(LOWER([1]Sheet1!$O$1),LOWER(B47))),"Ya","Tidak")</f>
        <v>Tidak</v>
      </c>
      <c r="P47" s="2" t="str">
        <f>IF(ISNUMBER(SEARCH(LOWER([1]Sheet1!$P$1),LOWER(B47))),"Ya","Tidak")</f>
        <v>Tidak</v>
      </c>
      <c r="Q47" s="2" t="str">
        <f>IF(ISNUMBER(SEARCH(LOWER([1]Sheet1!$Q$1),LOWER(B47))),"Ya","Tidak")</f>
        <v>Tidak</v>
      </c>
      <c r="R47" s="2" t="str">
        <f>IF(ISNUMBER(SEARCH(LOWER([1]Sheet1!$R$1),LOWER(B47))),"Ya","Tidak")</f>
        <v>Tidak</v>
      </c>
      <c r="S47" s="29" t="s">
        <v>9</v>
      </c>
      <c r="T47" s="2" t="str">
        <f t="shared" si="0"/>
        <v>IIIA</v>
      </c>
      <c r="U47" s="2" t="str">
        <f t="shared" si="5"/>
        <v>Metastasis pada KGB aksila ipsilateral</v>
      </c>
      <c r="V47" s="30" t="s">
        <v>188</v>
      </c>
      <c r="W47" s="31" t="s">
        <v>122</v>
      </c>
      <c r="X47" s="30"/>
      <c r="Y47" s="2">
        <f t="shared" si="1"/>
        <v>0</v>
      </c>
      <c r="Z47" s="28" t="s">
        <v>24</v>
      </c>
      <c r="AA47" s="29">
        <v>44831</v>
      </c>
      <c r="AB47" s="32">
        <v>44971</v>
      </c>
      <c r="AC47" s="2">
        <f t="shared" si="2"/>
        <v>141</v>
      </c>
      <c r="AD47" s="28">
        <v>30</v>
      </c>
      <c r="AE47" s="28" t="s">
        <v>189</v>
      </c>
      <c r="AF47" s="2" t="str">
        <f t="shared" si="3"/>
        <v>Ada</v>
      </c>
      <c r="AG47" s="28"/>
      <c r="AH47" s="2" t="str">
        <f t="shared" si="4"/>
        <v>Tidak ada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2025-04-23T14:55:35Z</dcterms:created>
  <dcterms:modified xsi:type="dcterms:W3CDTF">2025-04-23T17:13:57Z</dcterms:modified>
</cp:coreProperties>
</file>