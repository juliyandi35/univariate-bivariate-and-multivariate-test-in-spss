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Kerjaan\Research Consultant\Project P77790325 (Univariate, Bivariate, and Multivariate Test in SPSS)\"/>
    </mc:Choice>
  </mc:AlternateContent>
  <xr:revisionPtr revIDLastSave="0" documentId="13_ncr:1_{9971E24C-6D7F-4E90-B6EC-D480EBBF51A6}" xr6:coauthVersionLast="47" xr6:coauthVersionMax="47" xr10:uidLastSave="{00000000-0000-0000-0000-000000000000}"/>
  <bookViews>
    <workbookView xWindow="-110" yWindow="-110" windowWidth="19420" windowHeight="10300" xr2:uid="{9CF93B09-603B-4B2E-A95A-000EEE69A1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2" i="1"/>
  <c r="AF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2" i="1"/>
  <c r="C3" i="1"/>
  <c r="D3" i="1"/>
  <c r="E3" i="1"/>
  <c r="F3" i="1"/>
  <c r="G3" i="1"/>
  <c r="H3" i="1"/>
  <c r="I3" i="1"/>
  <c r="J3" i="1"/>
  <c r="K3" i="1"/>
  <c r="L3" i="1"/>
  <c r="M3" i="1"/>
  <c r="N3" i="1"/>
  <c r="O3" i="1"/>
  <c r="P3" i="1"/>
  <c r="Q3" i="1"/>
  <c r="R3" i="1"/>
  <c r="C4" i="1"/>
  <c r="D4" i="1"/>
  <c r="E4" i="1"/>
  <c r="F4" i="1"/>
  <c r="G4" i="1"/>
  <c r="H4" i="1"/>
  <c r="I4" i="1"/>
  <c r="J4" i="1"/>
  <c r="K4" i="1"/>
  <c r="L4" i="1"/>
  <c r="M4" i="1"/>
  <c r="N4" i="1"/>
  <c r="O4" i="1"/>
  <c r="P4" i="1"/>
  <c r="Q4" i="1"/>
  <c r="R4" i="1"/>
  <c r="C5" i="1"/>
  <c r="D5" i="1"/>
  <c r="E5" i="1"/>
  <c r="F5" i="1"/>
  <c r="G5" i="1"/>
  <c r="H5" i="1"/>
  <c r="I5" i="1"/>
  <c r="J5" i="1"/>
  <c r="K5" i="1"/>
  <c r="L5" i="1"/>
  <c r="M5" i="1"/>
  <c r="N5" i="1"/>
  <c r="O5" i="1"/>
  <c r="P5" i="1"/>
  <c r="Q5" i="1"/>
  <c r="R5" i="1"/>
  <c r="C6" i="1"/>
  <c r="D6" i="1"/>
  <c r="E6" i="1"/>
  <c r="F6" i="1"/>
  <c r="G6" i="1"/>
  <c r="H6" i="1"/>
  <c r="I6" i="1"/>
  <c r="J6" i="1"/>
  <c r="K6" i="1"/>
  <c r="L6" i="1"/>
  <c r="M6" i="1"/>
  <c r="N6" i="1"/>
  <c r="O6" i="1"/>
  <c r="P6" i="1"/>
  <c r="Q6" i="1"/>
  <c r="R6" i="1"/>
  <c r="C7" i="1"/>
  <c r="D7" i="1"/>
  <c r="E7" i="1"/>
  <c r="F7" i="1"/>
  <c r="G7" i="1"/>
  <c r="H7" i="1"/>
  <c r="I7" i="1"/>
  <c r="J7" i="1"/>
  <c r="K7" i="1"/>
  <c r="L7" i="1"/>
  <c r="M7" i="1"/>
  <c r="N7" i="1"/>
  <c r="O7" i="1"/>
  <c r="P7" i="1"/>
  <c r="Q7" i="1"/>
  <c r="R7" i="1"/>
  <c r="C8" i="1"/>
  <c r="D8" i="1"/>
  <c r="E8" i="1"/>
  <c r="F8" i="1"/>
  <c r="G8" i="1"/>
  <c r="H8" i="1"/>
  <c r="I8" i="1"/>
  <c r="J8" i="1"/>
  <c r="K8" i="1"/>
  <c r="L8" i="1"/>
  <c r="M8" i="1"/>
  <c r="N8" i="1"/>
  <c r="O8" i="1"/>
  <c r="P8" i="1"/>
  <c r="Q8" i="1"/>
  <c r="R8" i="1"/>
  <c r="C9" i="1"/>
  <c r="D9" i="1"/>
  <c r="E9" i="1"/>
  <c r="F9" i="1"/>
  <c r="G9" i="1"/>
  <c r="H9" i="1"/>
  <c r="I9" i="1"/>
  <c r="J9" i="1"/>
  <c r="K9" i="1"/>
  <c r="L9" i="1"/>
  <c r="M9" i="1"/>
  <c r="N9" i="1"/>
  <c r="O9" i="1"/>
  <c r="P9" i="1"/>
  <c r="Q9" i="1"/>
  <c r="R9" i="1"/>
  <c r="C10" i="1"/>
  <c r="D10" i="1"/>
  <c r="E10" i="1"/>
  <c r="F10" i="1"/>
  <c r="G10" i="1"/>
  <c r="H10" i="1"/>
  <c r="I10" i="1"/>
  <c r="J10" i="1"/>
  <c r="K10" i="1"/>
  <c r="L10" i="1"/>
  <c r="M10" i="1"/>
  <c r="N10" i="1"/>
  <c r="O10" i="1"/>
  <c r="P10" i="1"/>
  <c r="Q10" i="1"/>
  <c r="R10" i="1"/>
  <c r="C11" i="1"/>
  <c r="D11" i="1"/>
  <c r="E11" i="1"/>
  <c r="F11" i="1"/>
  <c r="G11" i="1"/>
  <c r="H11" i="1"/>
  <c r="I11" i="1"/>
  <c r="J11" i="1"/>
  <c r="K11" i="1"/>
  <c r="L11" i="1"/>
  <c r="M11" i="1"/>
  <c r="N11" i="1"/>
  <c r="O11" i="1"/>
  <c r="P11" i="1"/>
  <c r="Q11" i="1"/>
  <c r="R11" i="1"/>
  <c r="C12" i="1"/>
  <c r="D12" i="1"/>
  <c r="E12" i="1"/>
  <c r="F12" i="1"/>
  <c r="G12" i="1"/>
  <c r="H12" i="1"/>
  <c r="I12" i="1"/>
  <c r="J12" i="1"/>
  <c r="K12" i="1"/>
  <c r="L12" i="1"/>
  <c r="M12" i="1"/>
  <c r="N12" i="1"/>
  <c r="O12" i="1"/>
  <c r="P12" i="1"/>
  <c r="Q12" i="1"/>
  <c r="R12" i="1"/>
  <c r="C13" i="1"/>
  <c r="D13" i="1"/>
  <c r="E13" i="1"/>
  <c r="F13" i="1"/>
  <c r="G13" i="1"/>
  <c r="H13" i="1"/>
  <c r="I13" i="1"/>
  <c r="J13" i="1"/>
  <c r="K13" i="1"/>
  <c r="L13" i="1"/>
  <c r="M13" i="1"/>
  <c r="N13" i="1"/>
  <c r="O13" i="1"/>
  <c r="P13" i="1"/>
  <c r="Q13" i="1"/>
  <c r="R13" i="1"/>
  <c r="C14" i="1"/>
  <c r="D14" i="1"/>
  <c r="E14" i="1"/>
  <c r="F14" i="1"/>
  <c r="G14" i="1"/>
  <c r="H14" i="1"/>
  <c r="I14" i="1"/>
  <c r="J14" i="1"/>
  <c r="K14" i="1"/>
  <c r="L14" i="1"/>
  <c r="M14" i="1"/>
  <c r="N14" i="1"/>
  <c r="O14" i="1"/>
  <c r="P14" i="1"/>
  <c r="Q14" i="1"/>
  <c r="R14" i="1"/>
  <c r="C15" i="1"/>
  <c r="D15" i="1"/>
  <c r="E15" i="1"/>
  <c r="F15" i="1"/>
  <c r="G15" i="1"/>
  <c r="H15" i="1"/>
  <c r="I15" i="1"/>
  <c r="J15" i="1"/>
  <c r="K15" i="1"/>
  <c r="L15" i="1"/>
  <c r="M15" i="1"/>
  <c r="N15" i="1"/>
  <c r="O15" i="1"/>
  <c r="P15" i="1"/>
  <c r="Q15" i="1"/>
  <c r="R15" i="1"/>
  <c r="C16" i="1"/>
  <c r="D16" i="1"/>
  <c r="E16" i="1"/>
  <c r="F16" i="1"/>
  <c r="G16" i="1"/>
  <c r="H16" i="1"/>
  <c r="I16" i="1"/>
  <c r="J16" i="1"/>
  <c r="K16" i="1"/>
  <c r="L16" i="1"/>
  <c r="M16" i="1"/>
  <c r="N16" i="1"/>
  <c r="O16" i="1"/>
  <c r="P16" i="1"/>
  <c r="Q16" i="1"/>
  <c r="R16" i="1"/>
  <c r="C17" i="1"/>
  <c r="D17" i="1"/>
  <c r="E17" i="1"/>
  <c r="F17" i="1"/>
  <c r="G17" i="1"/>
  <c r="H17" i="1"/>
  <c r="I17" i="1"/>
  <c r="J17" i="1"/>
  <c r="K17" i="1"/>
  <c r="L17" i="1"/>
  <c r="M17" i="1"/>
  <c r="N17" i="1"/>
  <c r="O17" i="1"/>
  <c r="P17" i="1"/>
  <c r="Q17" i="1"/>
  <c r="R17" i="1"/>
  <c r="C18" i="1"/>
  <c r="D18" i="1"/>
  <c r="E18" i="1"/>
  <c r="F18" i="1"/>
  <c r="G18" i="1"/>
  <c r="H18" i="1"/>
  <c r="I18" i="1"/>
  <c r="J18" i="1"/>
  <c r="K18" i="1"/>
  <c r="L18" i="1"/>
  <c r="M18" i="1"/>
  <c r="N18" i="1"/>
  <c r="O18" i="1"/>
  <c r="P18" i="1"/>
  <c r="Q18" i="1"/>
  <c r="R18" i="1"/>
  <c r="C19" i="1"/>
  <c r="D19" i="1"/>
  <c r="E19" i="1"/>
  <c r="F19" i="1"/>
  <c r="G19" i="1"/>
  <c r="H19" i="1"/>
  <c r="I19" i="1"/>
  <c r="J19" i="1"/>
  <c r="K19" i="1"/>
  <c r="L19" i="1"/>
  <c r="M19" i="1"/>
  <c r="N19" i="1"/>
  <c r="O19" i="1"/>
  <c r="P19" i="1"/>
  <c r="Q19" i="1"/>
  <c r="R19" i="1"/>
  <c r="C20" i="1"/>
  <c r="D20" i="1"/>
  <c r="E20" i="1"/>
  <c r="F20" i="1"/>
  <c r="G20" i="1"/>
  <c r="H20" i="1"/>
  <c r="I20" i="1"/>
  <c r="J20" i="1"/>
  <c r="K20" i="1"/>
  <c r="L20" i="1"/>
  <c r="M20" i="1"/>
  <c r="N20" i="1"/>
  <c r="O20" i="1"/>
  <c r="P20" i="1"/>
  <c r="Q20" i="1"/>
  <c r="R20" i="1"/>
  <c r="C21" i="1"/>
  <c r="D21" i="1"/>
  <c r="E21" i="1"/>
  <c r="F21" i="1"/>
  <c r="G21" i="1"/>
  <c r="H21" i="1"/>
  <c r="I21" i="1"/>
  <c r="J21" i="1"/>
  <c r="K21" i="1"/>
  <c r="L21" i="1"/>
  <c r="M21" i="1"/>
  <c r="N21" i="1"/>
  <c r="O21" i="1"/>
  <c r="P21" i="1"/>
  <c r="Q21" i="1"/>
  <c r="R21" i="1"/>
  <c r="C22" i="1"/>
  <c r="D22" i="1"/>
  <c r="E22" i="1"/>
  <c r="F22" i="1"/>
  <c r="G22" i="1"/>
  <c r="H22" i="1"/>
  <c r="I22" i="1"/>
  <c r="J22" i="1"/>
  <c r="K22" i="1"/>
  <c r="L22" i="1"/>
  <c r="M22" i="1"/>
  <c r="N22" i="1"/>
  <c r="O22" i="1"/>
  <c r="P22" i="1"/>
  <c r="Q22" i="1"/>
  <c r="R22" i="1"/>
  <c r="C23" i="1"/>
  <c r="D23" i="1"/>
  <c r="E23" i="1"/>
  <c r="F23" i="1"/>
  <c r="G23" i="1"/>
  <c r="H23" i="1"/>
  <c r="I23" i="1"/>
  <c r="J23" i="1"/>
  <c r="K23" i="1"/>
  <c r="L23" i="1"/>
  <c r="M23" i="1"/>
  <c r="N23" i="1"/>
  <c r="O23" i="1"/>
  <c r="P23" i="1"/>
  <c r="Q23" i="1"/>
  <c r="R23" i="1"/>
  <c r="C24" i="1"/>
  <c r="D24" i="1"/>
  <c r="E24" i="1"/>
  <c r="F24" i="1"/>
  <c r="G24" i="1"/>
  <c r="H24" i="1"/>
  <c r="I24" i="1"/>
  <c r="J24" i="1"/>
  <c r="K24" i="1"/>
  <c r="L24" i="1"/>
  <c r="M24" i="1"/>
  <c r="N24" i="1"/>
  <c r="O24" i="1"/>
  <c r="P24" i="1"/>
  <c r="Q24" i="1"/>
  <c r="R24" i="1"/>
  <c r="C25" i="1"/>
  <c r="D25" i="1"/>
  <c r="E25" i="1"/>
  <c r="F25" i="1"/>
  <c r="G25" i="1"/>
  <c r="H25" i="1"/>
  <c r="I25" i="1"/>
  <c r="J25" i="1"/>
  <c r="K25" i="1"/>
  <c r="L25" i="1"/>
  <c r="M25" i="1"/>
  <c r="N25" i="1"/>
  <c r="O25" i="1"/>
  <c r="P25" i="1"/>
  <c r="Q25" i="1"/>
  <c r="R25" i="1"/>
  <c r="C26" i="1"/>
  <c r="D26" i="1"/>
  <c r="E26" i="1"/>
  <c r="F26" i="1"/>
  <c r="G26" i="1"/>
  <c r="H26" i="1"/>
  <c r="I26" i="1"/>
  <c r="J26" i="1"/>
  <c r="K26" i="1"/>
  <c r="L26" i="1"/>
  <c r="M26" i="1"/>
  <c r="N26" i="1"/>
  <c r="O26" i="1"/>
  <c r="P26" i="1"/>
  <c r="Q26" i="1"/>
  <c r="R26" i="1"/>
  <c r="C27" i="1"/>
  <c r="D27" i="1"/>
  <c r="E27" i="1"/>
  <c r="F27" i="1"/>
  <c r="G27" i="1"/>
  <c r="H27" i="1"/>
  <c r="I27" i="1"/>
  <c r="J27" i="1"/>
  <c r="K27" i="1"/>
  <c r="L27" i="1"/>
  <c r="M27" i="1"/>
  <c r="N27" i="1"/>
  <c r="O27" i="1"/>
  <c r="P27" i="1"/>
  <c r="Q27" i="1"/>
  <c r="R27" i="1"/>
  <c r="C28" i="1"/>
  <c r="D28" i="1"/>
  <c r="E28" i="1"/>
  <c r="F28" i="1"/>
  <c r="G28" i="1"/>
  <c r="H28" i="1"/>
  <c r="I28" i="1"/>
  <c r="J28" i="1"/>
  <c r="K28" i="1"/>
  <c r="L28" i="1"/>
  <c r="M28" i="1"/>
  <c r="N28" i="1"/>
  <c r="O28" i="1"/>
  <c r="P28" i="1"/>
  <c r="Q28" i="1"/>
  <c r="R28" i="1"/>
  <c r="C29" i="1"/>
  <c r="D29" i="1"/>
  <c r="E29" i="1"/>
  <c r="F29" i="1"/>
  <c r="G29" i="1"/>
  <c r="H29" i="1"/>
  <c r="I29" i="1"/>
  <c r="J29" i="1"/>
  <c r="K29" i="1"/>
  <c r="L29" i="1"/>
  <c r="M29" i="1"/>
  <c r="N29" i="1"/>
  <c r="O29" i="1"/>
  <c r="P29" i="1"/>
  <c r="Q29" i="1"/>
  <c r="R29" i="1"/>
  <c r="C30" i="1"/>
  <c r="D30" i="1"/>
  <c r="E30" i="1"/>
  <c r="F30" i="1"/>
  <c r="G30" i="1"/>
  <c r="H30" i="1"/>
  <c r="I30" i="1"/>
  <c r="J30" i="1"/>
  <c r="K30" i="1"/>
  <c r="L30" i="1"/>
  <c r="M30" i="1"/>
  <c r="N30" i="1"/>
  <c r="O30" i="1"/>
  <c r="P30" i="1"/>
  <c r="Q30" i="1"/>
  <c r="R30" i="1"/>
  <c r="C31" i="1"/>
  <c r="D31" i="1"/>
  <c r="E31" i="1"/>
  <c r="F31" i="1"/>
  <c r="G31" i="1"/>
  <c r="H31" i="1"/>
  <c r="I31" i="1"/>
  <c r="J31" i="1"/>
  <c r="K31" i="1"/>
  <c r="L31" i="1"/>
  <c r="M31" i="1"/>
  <c r="N31" i="1"/>
  <c r="O31" i="1"/>
  <c r="P31" i="1"/>
  <c r="Q31" i="1"/>
  <c r="R31" i="1"/>
  <c r="C32" i="1"/>
  <c r="D32" i="1"/>
  <c r="E32" i="1"/>
  <c r="F32" i="1"/>
  <c r="G32" i="1"/>
  <c r="H32" i="1"/>
  <c r="I32" i="1"/>
  <c r="J32" i="1"/>
  <c r="K32" i="1"/>
  <c r="L32" i="1"/>
  <c r="M32" i="1"/>
  <c r="N32" i="1"/>
  <c r="O32" i="1"/>
  <c r="P32" i="1"/>
  <c r="Q32" i="1"/>
  <c r="R32" i="1"/>
  <c r="C33" i="1"/>
  <c r="D33" i="1"/>
  <c r="E33" i="1"/>
  <c r="F33" i="1"/>
  <c r="G33" i="1"/>
  <c r="H33" i="1"/>
  <c r="I33" i="1"/>
  <c r="J33" i="1"/>
  <c r="K33" i="1"/>
  <c r="L33" i="1"/>
  <c r="M33" i="1"/>
  <c r="N33" i="1"/>
  <c r="O33" i="1"/>
  <c r="P33" i="1"/>
  <c r="Q33" i="1"/>
  <c r="R33" i="1"/>
  <c r="C34" i="1"/>
  <c r="D34" i="1"/>
  <c r="E34" i="1"/>
  <c r="F34" i="1"/>
  <c r="G34" i="1"/>
  <c r="H34" i="1"/>
  <c r="I34" i="1"/>
  <c r="J34" i="1"/>
  <c r="K34" i="1"/>
  <c r="L34" i="1"/>
  <c r="M34" i="1"/>
  <c r="N34" i="1"/>
  <c r="O34" i="1"/>
  <c r="P34" i="1"/>
  <c r="Q34" i="1"/>
  <c r="R34" i="1"/>
  <c r="C35" i="1"/>
  <c r="D35" i="1"/>
  <c r="E35" i="1"/>
  <c r="F35" i="1"/>
  <c r="G35" i="1"/>
  <c r="H35" i="1"/>
  <c r="I35" i="1"/>
  <c r="J35" i="1"/>
  <c r="K35" i="1"/>
  <c r="L35" i="1"/>
  <c r="M35" i="1"/>
  <c r="N35" i="1"/>
  <c r="O35" i="1"/>
  <c r="P35" i="1"/>
  <c r="Q35" i="1"/>
  <c r="R35" i="1"/>
  <c r="C36" i="1"/>
  <c r="D36" i="1"/>
  <c r="E36" i="1"/>
  <c r="F36" i="1"/>
  <c r="G36" i="1"/>
  <c r="H36" i="1"/>
  <c r="I36" i="1"/>
  <c r="J36" i="1"/>
  <c r="K36" i="1"/>
  <c r="L36" i="1"/>
  <c r="M36" i="1"/>
  <c r="N36" i="1"/>
  <c r="O36" i="1"/>
  <c r="P36" i="1"/>
  <c r="Q36" i="1"/>
  <c r="R36" i="1"/>
  <c r="C37" i="1"/>
  <c r="D37" i="1"/>
  <c r="E37" i="1"/>
  <c r="F37" i="1"/>
  <c r="G37" i="1"/>
  <c r="H37" i="1"/>
  <c r="I37" i="1"/>
  <c r="J37" i="1"/>
  <c r="K37" i="1"/>
  <c r="L37" i="1"/>
  <c r="M37" i="1"/>
  <c r="N37" i="1"/>
  <c r="O37" i="1"/>
  <c r="P37" i="1"/>
  <c r="Q37" i="1"/>
  <c r="R37" i="1"/>
  <c r="C38" i="1"/>
  <c r="D38" i="1"/>
  <c r="E38" i="1"/>
  <c r="F38" i="1"/>
  <c r="G38" i="1"/>
  <c r="H38" i="1"/>
  <c r="I38" i="1"/>
  <c r="J38" i="1"/>
  <c r="K38" i="1"/>
  <c r="L38" i="1"/>
  <c r="M38" i="1"/>
  <c r="N38" i="1"/>
  <c r="O38" i="1"/>
  <c r="P38" i="1"/>
  <c r="Q38" i="1"/>
  <c r="R38" i="1"/>
  <c r="C39" i="1"/>
  <c r="D39" i="1"/>
  <c r="E39" i="1"/>
  <c r="F39" i="1"/>
  <c r="G39" i="1"/>
  <c r="H39" i="1"/>
  <c r="I39" i="1"/>
  <c r="J39" i="1"/>
  <c r="K39" i="1"/>
  <c r="L39" i="1"/>
  <c r="M39" i="1"/>
  <c r="N39" i="1"/>
  <c r="O39" i="1"/>
  <c r="P39" i="1"/>
  <c r="Q39" i="1"/>
  <c r="R39" i="1"/>
  <c r="C40" i="1"/>
  <c r="D40" i="1"/>
  <c r="E40" i="1"/>
  <c r="F40" i="1"/>
  <c r="G40" i="1"/>
  <c r="H40" i="1"/>
  <c r="I40" i="1"/>
  <c r="J40" i="1"/>
  <c r="K40" i="1"/>
  <c r="L40" i="1"/>
  <c r="M40" i="1"/>
  <c r="N40" i="1"/>
  <c r="O40" i="1"/>
  <c r="P40" i="1"/>
  <c r="Q40" i="1"/>
  <c r="R40" i="1"/>
  <c r="C41" i="1"/>
  <c r="D41" i="1"/>
  <c r="E41" i="1"/>
  <c r="F41" i="1"/>
  <c r="G41" i="1"/>
  <c r="H41" i="1"/>
  <c r="I41" i="1"/>
  <c r="J41" i="1"/>
  <c r="K41" i="1"/>
  <c r="L41" i="1"/>
  <c r="M41" i="1"/>
  <c r="N41" i="1"/>
  <c r="O41" i="1"/>
  <c r="P41" i="1"/>
  <c r="Q41" i="1"/>
  <c r="R41" i="1"/>
  <c r="C42" i="1"/>
  <c r="D42" i="1"/>
  <c r="E42" i="1"/>
  <c r="F42" i="1"/>
  <c r="G42" i="1"/>
  <c r="H42" i="1"/>
  <c r="I42" i="1"/>
  <c r="J42" i="1"/>
  <c r="K42" i="1"/>
  <c r="L42" i="1"/>
  <c r="M42" i="1"/>
  <c r="N42" i="1"/>
  <c r="O42" i="1"/>
  <c r="P42" i="1"/>
  <c r="Q42" i="1"/>
  <c r="R42" i="1"/>
  <c r="C43" i="1"/>
  <c r="D43" i="1"/>
  <c r="E43" i="1"/>
  <c r="F43" i="1"/>
  <c r="G43" i="1"/>
  <c r="H43" i="1"/>
  <c r="I43" i="1"/>
  <c r="J43" i="1"/>
  <c r="K43" i="1"/>
  <c r="L43" i="1"/>
  <c r="M43" i="1"/>
  <c r="N43" i="1"/>
  <c r="O43" i="1"/>
  <c r="P43" i="1"/>
  <c r="Q43" i="1"/>
  <c r="R43" i="1"/>
  <c r="C44" i="1"/>
  <c r="D44" i="1"/>
  <c r="E44" i="1"/>
  <c r="F44" i="1"/>
  <c r="G44" i="1"/>
  <c r="H44" i="1"/>
  <c r="I44" i="1"/>
  <c r="J44" i="1"/>
  <c r="K44" i="1"/>
  <c r="L44" i="1"/>
  <c r="M44" i="1"/>
  <c r="N44" i="1"/>
  <c r="O44" i="1"/>
  <c r="P44" i="1"/>
  <c r="Q44" i="1"/>
  <c r="R44" i="1"/>
  <c r="C45" i="1"/>
  <c r="D45" i="1"/>
  <c r="E45" i="1"/>
  <c r="F45" i="1"/>
  <c r="G45" i="1"/>
  <c r="H45" i="1"/>
  <c r="I45" i="1"/>
  <c r="J45" i="1"/>
  <c r="K45" i="1"/>
  <c r="L45" i="1"/>
  <c r="M45" i="1"/>
  <c r="N45" i="1"/>
  <c r="O45" i="1"/>
  <c r="P45" i="1"/>
  <c r="Q45" i="1"/>
  <c r="R45" i="1"/>
  <c r="C46" i="1"/>
  <c r="D46" i="1"/>
  <c r="E46" i="1"/>
  <c r="F46" i="1"/>
  <c r="G46" i="1"/>
  <c r="H46" i="1"/>
  <c r="I46" i="1"/>
  <c r="J46" i="1"/>
  <c r="K46" i="1"/>
  <c r="L46" i="1"/>
  <c r="M46" i="1"/>
  <c r="N46" i="1"/>
  <c r="O46" i="1"/>
  <c r="P46" i="1"/>
  <c r="Q46" i="1"/>
  <c r="R46" i="1"/>
  <c r="C47" i="1"/>
  <c r="D47" i="1"/>
  <c r="E47" i="1"/>
  <c r="F47" i="1"/>
  <c r="G47" i="1"/>
  <c r="H47" i="1"/>
  <c r="I47" i="1"/>
  <c r="J47" i="1"/>
  <c r="K47" i="1"/>
  <c r="L47" i="1"/>
  <c r="M47" i="1"/>
  <c r="N47" i="1"/>
  <c r="O47" i="1"/>
  <c r="P47" i="1"/>
  <c r="Q47" i="1"/>
  <c r="R47" i="1"/>
  <c r="C48" i="1"/>
  <c r="D48" i="1"/>
  <c r="E48" i="1"/>
  <c r="F48" i="1"/>
  <c r="G48" i="1"/>
  <c r="H48" i="1"/>
  <c r="I48" i="1"/>
  <c r="J48" i="1"/>
  <c r="K48" i="1"/>
  <c r="L48" i="1"/>
  <c r="M48" i="1"/>
  <c r="N48" i="1"/>
  <c r="O48" i="1"/>
  <c r="P48" i="1"/>
  <c r="Q48" i="1"/>
  <c r="R48" i="1"/>
  <c r="C49" i="1"/>
  <c r="D49" i="1"/>
  <c r="E49" i="1"/>
  <c r="F49" i="1"/>
  <c r="G49" i="1"/>
  <c r="H49" i="1"/>
  <c r="I49" i="1"/>
  <c r="J49" i="1"/>
  <c r="K49" i="1"/>
  <c r="L49" i="1"/>
  <c r="M49" i="1"/>
  <c r="N49" i="1"/>
  <c r="O49" i="1"/>
  <c r="P49" i="1"/>
  <c r="Q49" i="1"/>
  <c r="R49" i="1"/>
  <c r="C50" i="1"/>
  <c r="D50" i="1"/>
  <c r="E50" i="1"/>
  <c r="F50" i="1"/>
  <c r="G50" i="1"/>
  <c r="H50" i="1"/>
  <c r="I50" i="1"/>
  <c r="J50" i="1"/>
  <c r="K50" i="1"/>
  <c r="L50" i="1"/>
  <c r="M50" i="1"/>
  <c r="N50" i="1"/>
  <c r="O50" i="1"/>
  <c r="P50" i="1"/>
  <c r="Q50" i="1"/>
  <c r="R50" i="1"/>
  <c r="C51" i="1"/>
  <c r="D51" i="1"/>
  <c r="E51" i="1"/>
  <c r="F51" i="1"/>
  <c r="G51" i="1"/>
  <c r="H51" i="1"/>
  <c r="I51" i="1"/>
  <c r="J51" i="1"/>
  <c r="K51" i="1"/>
  <c r="L51" i="1"/>
  <c r="M51" i="1"/>
  <c r="N51" i="1"/>
  <c r="O51" i="1"/>
  <c r="P51" i="1"/>
  <c r="Q51" i="1"/>
  <c r="R51" i="1"/>
  <c r="C52" i="1"/>
  <c r="D52" i="1"/>
  <c r="E52" i="1"/>
  <c r="F52" i="1"/>
  <c r="G52" i="1"/>
  <c r="H52" i="1"/>
  <c r="I52" i="1"/>
  <c r="J52" i="1"/>
  <c r="K52" i="1"/>
  <c r="L52" i="1"/>
  <c r="M52" i="1"/>
  <c r="N52" i="1"/>
  <c r="O52" i="1"/>
  <c r="P52" i="1"/>
  <c r="Q52" i="1"/>
  <c r="R52" i="1"/>
  <c r="C53" i="1"/>
  <c r="D53" i="1"/>
  <c r="E53" i="1"/>
  <c r="F53" i="1"/>
  <c r="G53" i="1"/>
  <c r="H53" i="1"/>
  <c r="I53" i="1"/>
  <c r="J53" i="1"/>
  <c r="K53" i="1"/>
  <c r="L53" i="1"/>
  <c r="M53" i="1"/>
  <c r="N53" i="1"/>
  <c r="O53" i="1"/>
  <c r="P53" i="1"/>
  <c r="Q53" i="1"/>
  <c r="R53" i="1"/>
  <c r="C54" i="1"/>
  <c r="D54" i="1"/>
  <c r="E54" i="1"/>
  <c r="F54" i="1"/>
  <c r="G54" i="1"/>
  <c r="H54" i="1"/>
  <c r="I54" i="1"/>
  <c r="J54" i="1"/>
  <c r="K54" i="1"/>
  <c r="L54" i="1"/>
  <c r="M54" i="1"/>
  <c r="N54" i="1"/>
  <c r="O54" i="1"/>
  <c r="P54" i="1"/>
  <c r="Q54" i="1"/>
  <c r="R54" i="1"/>
  <c r="C55" i="1"/>
  <c r="D55" i="1"/>
  <c r="E55" i="1"/>
  <c r="F55" i="1"/>
  <c r="G55" i="1"/>
  <c r="H55" i="1"/>
  <c r="I55" i="1"/>
  <c r="J55" i="1"/>
  <c r="K55" i="1"/>
  <c r="L55" i="1"/>
  <c r="M55" i="1"/>
  <c r="N55" i="1"/>
  <c r="O55" i="1"/>
  <c r="P55" i="1"/>
  <c r="Q55" i="1"/>
  <c r="R55" i="1"/>
  <c r="C56" i="1"/>
  <c r="D56" i="1"/>
  <c r="E56" i="1"/>
  <c r="F56" i="1"/>
  <c r="G56" i="1"/>
  <c r="H56" i="1"/>
  <c r="I56" i="1"/>
  <c r="J56" i="1"/>
  <c r="K56" i="1"/>
  <c r="L56" i="1"/>
  <c r="M56" i="1"/>
  <c r="N56" i="1"/>
  <c r="O56" i="1"/>
  <c r="P56" i="1"/>
  <c r="Q56" i="1"/>
  <c r="R56" i="1"/>
  <c r="C57" i="1"/>
  <c r="D57" i="1"/>
  <c r="E57" i="1"/>
  <c r="F57" i="1"/>
  <c r="G57" i="1"/>
  <c r="H57" i="1"/>
  <c r="I57" i="1"/>
  <c r="J57" i="1"/>
  <c r="K57" i="1"/>
  <c r="L57" i="1"/>
  <c r="M57" i="1"/>
  <c r="N57" i="1"/>
  <c r="O57" i="1"/>
  <c r="P57" i="1"/>
  <c r="Q57" i="1"/>
  <c r="R57" i="1"/>
  <c r="R2" i="1"/>
  <c r="Q2" i="1"/>
  <c r="P2" i="1"/>
  <c r="O2" i="1"/>
  <c r="N2" i="1"/>
  <c r="M2" i="1"/>
  <c r="L2" i="1"/>
  <c r="K2" i="1"/>
  <c r="J2" i="1"/>
  <c r="I2" i="1"/>
  <c r="H2" i="1"/>
  <c r="G2" i="1"/>
  <c r="F2" i="1"/>
  <c r="E2" i="1"/>
  <c r="D2" i="1"/>
  <c r="C2" i="1"/>
</calcChain>
</file>

<file path=xl/sharedStrings.xml><?xml version="1.0" encoding="utf-8"?>
<sst xmlns="http://schemas.openxmlformats.org/spreadsheetml/2006/main" count="439" uniqueCount="240">
  <si>
    <t>Umur</t>
  </si>
  <si>
    <t>Komplikasi</t>
  </si>
  <si>
    <t>Stadium</t>
  </si>
  <si>
    <t>Jenis Kemoterapi</t>
  </si>
  <si>
    <t>Tgl mulai kemoterapi</t>
  </si>
  <si>
    <t>Tanggal selesai kemoterapi</t>
  </si>
  <si>
    <t>Siklus radiasi</t>
  </si>
  <si>
    <t>Hipertensi, nyeri sendi</t>
  </si>
  <si>
    <t xml:space="preserve">Stadium II A, Metastasis pada KGB aksila ipsilateral, metastasis jauh tak dapat dinilai </t>
  </si>
  <si>
    <t>PT2N2Mx</t>
  </si>
  <si>
    <t>T2</t>
  </si>
  <si>
    <t>Adjuvan</t>
  </si>
  <si>
    <t>tidak ada metastasis dan kekambuhan regional</t>
  </si>
  <si>
    <t>Tidak ada metastatis dan kekambuhan regional</t>
  </si>
  <si>
    <t>Hipertensi grade 1</t>
  </si>
  <si>
    <t xml:space="preserve">Stadium IIB, metastasis pada KGB aksila ipsilateral level I dan II, metastasis jauh tidak dapat dinilai </t>
  </si>
  <si>
    <t>pT3N1Mx</t>
  </si>
  <si>
    <t>T3</t>
  </si>
  <si>
    <t>10 bulan setelah terapi: tidak ada metastasis dan kekambuhan regional.</t>
  </si>
  <si>
    <t xml:space="preserve">Hipertensi 
Gangguan fungsi liver 
</t>
  </si>
  <si>
    <t xml:space="preserve">Stadium IIIB, 1-3 KGB aksila, metastasis jauh tidak dapat dinilai </t>
  </si>
  <si>
    <t>pT4aN1aMx</t>
  </si>
  <si>
    <t>T4</t>
  </si>
  <si>
    <t>2 bulan setelah terapi: abdomen; tidak ada metastasis.   3 bulan setelah terapi: tidak ada metastasis pada thorax. 6 bulan setelah terapi: residif mass axilla dextra dan supraclavicular sinistra. tidak ada residif/residual pada massa dinding dada sinistra. fibroadenoma mammae dextra</t>
  </si>
  <si>
    <t>7 bulan setelah terapi:Tidak ada metastasis pada thorax. 9 bulan setelah terapi curiga metastasis dd choledocholithiasis. 9bulan setelah terapi tidak adametastasis pada thorax. 10 bulan setelah terapi: metastasis pankreas dan hati.</t>
  </si>
  <si>
    <t xml:space="preserve">3 bulan setelah terapi: tidak adametastasis pada abdomen. 4 bulan setelah terapi tidak ada residual/residif massa pada mammae. 5 bulan setelah terapi tidak ada metastasis pada tulang.  </t>
  </si>
  <si>
    <t>9 bulan setelah terapi: tidak ada metastasis pada abdomen.   8 bulan setelah terapi: tidak ada residual/residif pada mammae.  sampai saat ini tidak ada metastasis baik dari prgan abdomen, mammae, dan tulang. pasien masih berobat hingga hari ini.</t>
  </si>
  <si>
    <t>Anemia, hemiparesis sinistra</t>
  </si>
  <si>
    <t xml:space="preserve">Stadium IIIB, metastasis pada KGB aksila ipsilateral, metastasis jauh tidak dapat dinilai </t>
  </si>
  <si>
    <t>pT3N2Mx</t>
  </si>
  <si>
    <t xml:space="preserve">5 bulan setelah terapi: tidak ada metastasis pada thorax.  </t>
  </si>
  <si>
    <t>7 bulan setelah terapi: tidak ada residual/residif mass pada dinding mammae.  11 bulan setelah terapi; tidak ada metastasis pada abdomen. 12 bulan setelah terapi: tidak ada metastasis pada thorax, 14 bulan setelah terapi: tidak ada metastasis pada mammae, 16 bulan setelah terapi tidak ada metastasis pada abdomen, 18 bulan setelah terapi tidak ada metastasis pada tulang, 19 bulan setelah terapi ad ametastasis pada brain lobus frontal</t>
  </si>
  <si>
    <t>Hipertensi</t>
  </si>
  <si>
    <t>PT3N2MX</t>
  </si>
  <si>
    <t>4 bulan setelah terapi: tidak ada metastasis pada abdomen</t>
  </si>
  <si>
    <t>Hipertensi, dislipidemia</t>
  </si>
  <si>
    <t xml:space="preserve">Stadium IIIB, Metastasis pada KGB aksila ipsilateral level I dan II,  metastasis jauh tidak dapat dinilai </t>
  </si>
  <si>
    <t>PT3N1M0</t>
  </si>
  <si>
    <t xml:space="preserve">2 bulan setelah terapi: tidak ada metastasis pada tulang dan metastasis pada abdomen, 3 bulan setelah terapi: tidak ada residual/residif massa pada dinding dada sinistra atau mammae serta tidak ada metastasis pada thorax. </t>
  </si>
  <si>
    <t>9 bulan setelah terapi: tidak ada residual/residif massa pada dinding sinistra dan dextra serta tidak ada metastasis pada abdomen, 10 bulan setelah terapi tidak ada metastasis pada tulang, 11 bulan setelah terapi: tidak ada residual/residif massa pada dinding dada sinistra dan dextra serta tidak ada metastasis pada abdomen. pasien masih kontrol hingga hari ini</t>
  </si>
  <si>
    <t>1 bulan setelah terapi: dicurigai isteoclastic tipe skeletal metastasis di os cranium, tetapi setelah dilakukan sidik tulang tidak ada tanda-tanda metastasis tulang,  2 bulan setelah terapi: tidak ada metastasis di abdomen, 3 bulan setelah terapi: small FAM mammae dextra, tidak ada residu/residif pada dinding dada sinistra</t>
  </si>
  <si>
    <t xml:space="preserve">7 bulan setelah terapi: tidak ada metastasis pada tulang, 8 bulan setelah terapi: haterogenosly fibroglandular breast, multiple lesi equal density superolateral dan ineromedial mammae dextra,  9 bulan setelah terapi: tidak ada metastasis pada tulang dan tidak ada metastasis pada abdomen, 10 bulan setelah terapi: multiple small FAM mammae dextra, tidak ada residu/residif pada dinding dada sinistra, 11 bulan setelah terapi: tidak ada metastasis pada abdomen, 12 bulan setelah terapi: small fibroadrenoma mammae dextra, tidak ada residu/residif pada dinding dada sinistra. pasien masih berobat hingga hari ini. </t>
  </si>
  <si>
    <t>Anemia, hypoalbuminemia, hiponatremia</t>
  </si>
  <si>
    <t xml:space="preserve">Stadium IIIB, Metastasis pada KGB aksila ipsilateral level I dan II,  terdapat metastasis jauh </t>
  </si>
  <si>
    <t>PT3N1M1</t>
  </si>
  <si>
    <t xml:space="preserve">24 hari setelah terapi: soft tissue mass regio dinding hemithorax dextra, pulmo tidak ada kelainan, 1 bulan setelah terapi: residif mass di dinding dada dextra dengan malignansi dan snetral nekrotik, multiple nodal metastasis di axilla dextra, tidak ada kelainan pada mammae sinistra, </t>
  </si>
  <si>
    <t>6 bulan setelah terapi: pneumoni+nodular tipe pulmonal metastasis,  8 bulan setelah terapi: residif mass di dinding dada dextra dengan malignansi di dextra , 9 bulan setelah terapi: pasien mengalami metastasis paru</t>
  </si>
  <si>
    <t xml:space="preserve">Stadium IIIB,  4-9 KGB aksila,  terdapat metastasis jauh </t>
  </si>
  <si>
    <t>PT3N2aMx</t>
  </si>
  <si>
    <t>16 hari setelah terapi: tidak ada metastasis pada tulang, 2 bulan setelah terapi: tidak ada residual/resdif mass pada mammae sinistra dan dextra, 3 bulan setelah terapi: tidak ada metastasis thorax dan tidak ada metastasis abdomen.</t>
  </si>
  <si>
    <t xml:space="preserve">6 bulan setelah terapi: tidak ada metastasis tulang, 8 bulan setelah terapi: fibroadenoma mammae dextra, tidak ada residual/residif mass pada sinistra, 12 bulan setelah terapi: multiple nodular tipe metastasis, massa mammae dextra meluas dinding hemithoraks dextra. </t>
  </si>
  <si>
    <t>Anemia, hemiplegia</t>
  </si>
  <si>
    <t>Stadium IIIB, metastasis pada KGB aksila ipsilateral, metastasis jauh tidak dapat</t>
  </si>
  <si>
    <t>PT3N2Mx</t>
  </si>
  <si>
    <t>1 bulan setelah terapi: tidak ada metastasis pada tulang, 4 bulan setelah terapi: tidak ada metastasis pada abdomen, 5 bulan setelah terapi: tidak ada metastasis pada thorax</t>
  </si>
  <si>
    <t>7 bulan setelah terapi: tidak ada residu/residif mass pada dinding dada dextra dan sinistra, 11 bulan setelah terapi: tidak ada metastasis pada abdomen, 12bulan setelah terapi: tidak ada metastasis pada thorax, 13 bulan setelah terapi: tidak ada residual/residif mass pada dinding dada dextra et sinistra, 15 bulan setelah terapi: tidak ada metastasis pada abdomen, 17 bulan setelah terapi: tidak ada metastasis pada tulang, 18 bulan setelah terapi: multiple brain metastasis pada lobus frontal bilateral.</t>
  </si>
  <si>
    <t>Stadium IA, KGB regional tidak dapat dinilai, tidak dapat dinilai metastasis jauh</t>
  </si>
  <si>
    <t>PT1NxMx</t>
  </si>
  <si>
    <t>T1</t>
  </si>
  <si>
    <t xml:space="preserve">10 bulan setelah terapi: pneumonitis radiasi, 12 bulan setelah terapi: tidak ada pulmonal metastasis, 14 bulan setelah terapi: seroma axillaris dextra, tidak ada residual/resididf mass pada dinding dada dextra, fibroadenoma mammae sinistra, 16 bulan setelah terapi: tidak ada pulmonal metastasis, 18 bulan setelah terapi: fatty liver, myoma uteri, cholithiasis disertai cholecystitis tanpa cholestatis, 19 bulan setelah terapi: fibroadenoma mammae sinistra, limfonodi reactive axilla sinistra. </t>
  </si>
  <si>
    <t>3 bulan setelah radiasi: tidak ada metastasis pada tulang</t>
  </si>
  <si>
    <t xml:space="preserve">6 bulan setelah terapi: tidak ada metastasis pada abdomen, 7 bulan setelah terapi: tidak ada metastasis pada thorax, 10 bulan setelah terapi: tidak ada residual/residif mass pada dinding dada dextra et sinistra, 14 bulan setelah terapi: simple cyst lobus dekstra hepar, tidak ada kelainan pada abdomen, 15 bulan setelah terapi: tidak ada metastasis pada thorax, 17 bulan setelah terapi: tidak ada residual/resididf mass pada dinding dada dextra et sinistra, 20 bulan setelah terapiL tidak ada metastasis pada abdomen, 23 bulan setelah terapi: tidak ada metastasis pada tulang, 24 bulan setelah terapi: multiple brain metastasis lobus frontal bilateral dan parietal bilateral. </t>
  </si>
  <si>
    <t xml:space="preserve">1 bulan setelah terapi: tidak ada metastasis pada abdomen, 2 bulan setelah terapi: tidak ada residual/residif mass pada dinding dada dextra et sinistra, 3 bulan setelah terapi: tidak ada kelainan pada thorax, </t>
  </si>
  <si>
    <t xml:space="preserve">7 bulan setelah terapi: tidak ada residual/ residif mass pada dinding dada dextra et sinistra, 8 bulan setelah terapi: tidak ada metastasis pada abdomen, 15 bulan setelah terapi: tidak ada metastasis pada abdomen. </t>
  </si>
  <si>
    <t xml:space="preserve">Stadium IIb,tidak ada metastasis KGB regional, metastasis jauh tidak dapat dinilai </t>
  </si>
  <si>
    <t>pT3N0Mx</t>
  </si>
  <si>
    <t xml:space="preserve">1 bulan setelah terapi: tidak ada residual/residif mass pada dinding dada dextra et sinistra, 2 bulan setelah terapi: tidak ada metastasis pada tulang dan abdomen, </t>
  </si>
  <si>
    <t xml:space="preserve">6 bulan setelah terapi: tidak ada metastasis pada tulang, 7 bulan setelah terapi: tidak ada residual/resididf mass pada dinding dada sinistra, small fibroadenoma mammae dextra, 8 bulan setelah terapi: tidak ada metastasis pada abdomen, 12 bulan setelah terapi: tidak ada metastasis pada tulang, 14 bulan setelah terapi tidak ada residual/residif mass pada dinding dada sinistra, small fibroadenoma mammae dextra, 15 bulan setelah terapi: tidak ada metastasis pada abdomen, 18 bulan setelah terapi: tidak ada metastasis pada tulang,  22 bulan setelah terapi: tak tampak residif/residual mass pada dinding dada sinistra, multiple fibroadenoma mammae dextra, 24 bulan setelah terapi: tidak ada metastasis pada abdomen dan tulang. </t>
  </si>
  <si>
    <t>PT2N1aMx</t>
  </si>
  <si>
    <t>11 bulan setelah terapi: tidak ada residual/resisif mass pada dinding dada dextra et sinistra, 12 bulan setelah terapi metastasis pada tulang dan metastasis hepatal</t>
  </si>
  <si>
    <t>Low back pain</t>
  </si>
  <si>
    <t xml:space="preserve">Stadium IIIB, Metastasis pada KGB aksila ipsilateral level I dan level II yang masih bisa digerakkan, metastasis jauh tidak dapat dinilai </t>
  </si>
  <si>
    <t>CT4BN1Mx</t>
  </si>
  <si>
    <t>1 bulan setelah terapi: tak tampak residual/resisid mass pada dinding dada sinistra</t>
  </si>
  <si>
    <t>6 bulan setelah terapi: tidak ada metastasis pada thorax, 7 bulan setelah terapi: metastasis pada tulang. pasien meninggal setelah 7 bulan terapi.</t>
  </si>
  <si>
    <t>Stadium IIB, tak ada metastasis KGB regional, metastasis jauh tak dapat dinilai</t>
  </si>
  <si>
    <t xml:space="preserve">HER2 Enriched </t>
  </si>
  <si>
    <t xml:space="preserve">10 bulan setelah terapi: tidak ada massa residu pada dada sinistra et dextra, 13 bulan setelah terapi: tidak ada metastasis pada abdomen, 14 bulan setelah terapi: tidak ada metastasis pada thorax, 21 bulan setelah terapi: tidak ada metastasis pada thorax, 24 bulan setelah terapi: lesi litik multiple humerus mengarah gambaran osteoclastic tipe metastasis. </t>
  </si>
  <si>
    <t>Dislipidemia</t>
  </si>
  <si>
    <t>pT2N1aMx</t>
  </si>
  <si>
    <t xml:space="preserve">Adjuvan </t>
  </si>
  <si>
    <t>1 bulan setelah terapi: tidak ada metastasis pada thorax, 3 bulan setelah terapi: tidak ada metastasis pada abdomen, 4 bulan setelah terapi: tidak ada metastasis pada tulang, 5 bulan setelah terapi: tidak ada residual/resididf mass pada dinding dada dextra et sinistra</t>
  </si>
  <si>
    <t xml:space="preserve">7 bulan setelah terapi: tidak ada metastasis pada thorax, 11 bulan setelah terapi: tidak ada metastasis pada tulang dan abdomen, 13 bulan setelah terapi: tidak ada metastasis pada abdomen, 14 bulan setelah terapi: tidak ada metastasis pada abdomen, 15 bulan setelah terapi: tidak ada residual/residif mass pada dinding dada sinistra, simple cyst mammae dextra, 16 bulan setelah terapi: tidak ada metastasis pada tulang dan thorax, 21 bulan setelah terapi: tidak ada metastasis pada abdomen, 24 bulan setelah terapi: tidak ada residual/residif mass pada dinding dada dextra, sudah tdk tampak cyst mammae dextra </t>
  </si>
  <si>
    <t>Stadium II A, tak ada metastasis KGB regional, metastasis jauh tak dapat dinilai</t>
  </si>
  <si>
    <t>adjuvan</t>
  </si>
  <si>
    <t>1 bulan setelah terapi: tidak ada metastasis pada abdomen, tidak ada metastasis pada tulang</t>
  </si>
  <si>
    <t>8 bulan setelah terapi: tidak ada residif mass pada dinding dada sinistra et dextra, tidak ada metastasis pada abdomen, 9 bulan setelah terapi: tidak ada metastasis pada tulang, 12 bulan setelah terapi: tidak ada metastasis pada tulang, 13 bulan setelah terapi: tidak ada residual/resisif mass pada kedua dinding mammae, 16 bulan setelah terapi: tidak ada metastasis pada abdomen, 17 bulan setelah terapi: tidak ada metastasis pada tulang, 21 bulan setelah terapi: tidak ada residual/resididf mass pada kedua dinding dada, 22 bulan setelah terapi: tidak ada metastasis pada thorax/pulmonal.</t>
  </si>
  <si>
    <t>2 bulan setelah terapi: tidak ada residual/residif mass pada dinding dada sinistra et dextra, 3 bulan setelah terapi: pneumonia bilateral, 5 bulan setelah terapi: tidak ada residif mass pada dinding dada sinistra et dextra</t>
  </si>
  <si>
    <t xml:space="preserve">6 bulan setelah terapi: tidak ada metastasis pada tulang, 7 bulan setelah terapi: tidak ada kelainan pada abdomen, 8 bulan setelah terapi: tidak ada metastasis pada tulang, 12 bulan setelah terapi: tidak ada residual/resididf mass pada dinding dada sinistra et dextra, 14 bulan setelah terapi: brochitis, tak tampak pulmonal metastasis,  18 bulan setelah terapi: tak tampak residual/residif mass pada dinding dada sinistra et dextra, 19 bulan setelah terapi: pneumonia bilateral, 21 bulan setelah terapi: bronchitis, 24 bulan setelah terapi: tidak ada kelainan pada abdomen. </t>
  </si>
  <si>
    <t xml:space="preserve">Fatty Liver </t>
  </si>
  <si>
    <t xml:space="preserve">1 bulan setelah terapi: seroma infrasutura dan suprasutura axillary tail sinistra, edema soft tissue suprasutura dan infrasutura dinding dada sinistra, tidak ada residif/residual mass pada dinding dada dextra et sinistra,  2 bulan setelah terapi: tidak ada residual/resididf mass pada dinding dada sinistra et dextra terdapat fatty liver tidak ada metastasis pada abdomen. </t>
  </si>
  <si>
    <t xml:space="preserve">6 bulan setelah terapi: tidak ada metastasis pada thorax, 11 bulan setelah terapi: tidak ada residual/resisid mass pada dinding dada sinistra et dextra dan tidak ada kelainan pada abdomen. </t>
  </si>
  <si>
    <t>1 bulan setelah terapi: tidaka ada kelainan pada abdomen</t>
  </si>
  <si>
    <t xml:space="preserve">9 bulan setelah terapi: tidak tampak residual/resididf mass pada dinding dada dextra et sinistra. </t>
  </si>
  <si>
    <t xml:space="preserve">8 bulan setelah terapi: tidak ada metastasis pulmonal, 9 bulan setelah terapi: tampak metastasis tulang pada proyeksi OS costase II dan IV, 11 bulan setelah terapi: metastasis tulang. </t>
  </si>
  <si>
    <t xml:space="preserve">Stadium IIA, tak ada metastasis KGB, metastasis jauh tidak dapat dinilai </t>
  </si>
  <si>
    <t>pT2N0Mx</t>
  </si>
  <si>
    <t>1 bulan setelah terapi: seroma pada regio axilla dextra dan axillary tail sinistra, tidak tampak residif mass pada dinding dada dextra et sinistra, 2 bulan setelah terapi: levoskoliolisis lumbales, tidak ada metastasis pada tulang, 3 bulan setelah terapi: tidak ada kelainan pada abdomen dan tidak ada metastasis pada tulang</t>
  </si>
  <si>
    <t xml:space="preserve">6 bulan setelah terapi: tidak ada metastasis pulmonal, 7 bulan setelah terapi: terdapat seroma pada regio axilla dextra dan axillary tail sinistra, tidak tampak residual/residif mass dextra et sinistra, 9 bulan setelah terapi: tidak ada kelainan pada abdomen, 13 bulan setelah terapi: tidak ada pulmonal metastasis, 14 bulan setelah terapi: seroma pada regio axilla dextra dan axillary tail sinistra,  18 bulan setelah terapi: tidak ada kelainan pada abdomen, 19 bulan setelah terapi: tidak ada metastasis pada tulang, 21 bulan setelah terapi: tidak ada metastasis pada tulang, 22 bulan setelah terapi: tidak tampak residual/resisidf mass pada dinding dada dextra et sinistra, 23 bulan setelah terapi: tidak tampak skeletal metastasis, 24 bulan setelah terapi: tidak tampak pulmonal metastasis. </t>
  </si>
  <si>
    <t xml:space="preserve">Fatty liver </t>
  </si>
  <si>
    <t xml:space="preserve">Stadium IIIA, metastasis pada KGB aksila ipsilateral, tak ada metastasis jauh </t>
  </si>
  <si>
    <t>T3N2M0</t>
  </si>
  <si>
    <t>1 bulan setelah terapi: tak tampak residual/residif mass pada dinding dada dextra et sinistra, 2 bulan setelah terapi fatty liver, tidak ada metastasis pada abdomen</t>
  </si>
  <si>
    <t>7 bulan setelah terapi: tidak ada residual/resididf mass pada dinding dada dextra, 8 bulan setelah terapi tidak ada metastasis pada abdomen, 11 bulan setelah terapi: metastasis osteoblastic</t>
  </si>
  <si>
    <t>T4CN1Mx</t>
  </si>
  <si>
    <t xml:space="preserve">1 bulan sesudah terapi: tidak ada residual/resididf mass pada dinding dada sinistra et dextra, tidak ada metastasis pada thorax, 3 bulan setelah terapi: fatty liver, tidak ada kelainan pada abdomen, </t>
  </si>
  <si>
    <t xml:space="preserve">6 bulan setelah terapi: tidak ada residual/resididf mass pada dinding dada sinistra, 9 bulan setelah terapi: tidak ada metastasis pada pulmonal dan tidak ada metastasis pada abdomen, tidak ada metastasis pada tulang, 16 bulan setelah terapi: tidak ada metastasis pada tulang. </t>
  </si>
  <si>
    <t>Fatty liver grade 1</t>
  </si>
  <si>
    <t>T3N0Mx</t>
  </si>
  <si>
    <t>5 hari setelah terapi: fibrocystic change pada mammae sinistra, tidak ada residual/resididf mass pada dinding dada sinistra, 4 bulan setelah terapi: tidak ada kelainan pada abdomen dan metastasis pada tulang, 5 bulan setelah terapi: tidak ada metastasis pulmonal</t>
  </si>
  <si>
    <t>9 bulan setelah terapi: penebalan dinding uterus, tidak ada kelainan pada abdomen, 10 bulan setelah terapi: fibrocystic mammae sinistra, tidak ada residual/resididf mass pada dinding dada dextra. 11 bulan setelah terapi: fibrocystic changes mammae sinistra, tidak tampak residu/resididf mammae dextra, 12 bulan setelah terapi: fatty liver grade 1, penebalan dinding uterus, tidak ada metastasis pada abdomen</t>
  </si>
  <si>
    <t>T4bN1aMx</t>
  </si>
  <si>
    <t xml:space="preserve">1 bulan setelah terapi: tidak tampak residual/resididf mass pada dinding dada dextra et sinistra dan tidak ada metastasis abdomen, </t>
  </si>
  <si>
    <t>7 bulan setelah terapi: tidak tampak kelainan pulmonal, 9 bulan setelah terapi: tidak tampak kelainan pada wrist joint sinistra, 10 bulan setelah terapi: tidak tampak residual/resididf mass pada dinding dada dextra et sinistra, 14 bulan setelah terapi: tidak ada metastasis pada pulmonal</t>
  </si>
  <si>
    <t xml:space="preserve">Stadium IIIA, metastasis pada KGB aksila ipsilateral , metastasis jauh tak dapat dinilai </t>
  </si>
  <si>
    <t>pT3N2AM0</t>
  </si>
  <si>
    <t>2 bulan setelah terapi: tidak tampak residual/resididf mass pada dinding dada sinistra et dextra, 5 bulan setelah terapi: tidak tampak residual/resididf mass pada dinding dada sinistra et dextra</t>
  </si>
  <si>
    <t xml:space="preserve">7 bulan setelah terapi: pneumonitis sinistra curiga pneumonic type pulmonal metastasis, 8 bulan setelah terapi: tidak ada metastasis abdomen, 9 bulan setelah terapi: fibrosis segmen anterior lobus superior pulmo bilateral mengarah gambaran pneumonitis radiasi, tidak ada residual/residif mass pada dinding dada sinistra, 10 bulan setelah terapi: tidak ada metastasis pada tulang, 11 bulan setelah terapi: tak tampak residual/resididf mass pada dinding dada sinistra, 12 bulan setelah terapi: pneumonia sinistra cuirga pneumonic type metastasis. </t>
  </si>
  <si>
    <t xml:space="preserve">Stadium IIIA, 4-9 KGB aksila, metastasis jauh tak dapat dinilai </t>
  </si>
  <si>
    <t>T1bN2aMx</t>
  </si>
  <si>
    <t>1 bulan setelah terapi: tidak ada kelainan pada abdomen, 2 bulan setelah terapi: tidak tampak residual/residif mass pada dinding dada dextra, 6 bulan setelah terapi: tidak ada metastasis pada tulang</t>
  </si>
  <si>
    <t xml:space="preserve">9 bulan setelah terapi: tidak tampak residual/resididf mass pada dinding dada dextra. </t>
  </si>
  <si>
    <t>pT1NxMx</t>
  </si>
  <si>
    <t>2 bulan setelah terapi: tidak tampak residual/residif mass pada dinding dada sinistra et dextra, 5 bulan setelah terapi: tidak tampak residual/resididf mass pada dinding dada sinistra et dextra.</t>
  </si>
  <si>
    <t xml:space="preserve">7 bulan setelah terapi: pneumonitis sinistra curiga pneumonic type pulmonal metastasis, 10 bulan setelah terapi: tidak ada kelainan pada abdomen, 11 bulan setelah terapi: fibrosis segmen anterior lobus superior pulmo bilateral mengarah gambaran pneumonitis radiasi dan tidak ada tampak residual/resididf mass pada dinding dada sinistra et dextra, 13 bulan setelah terapi: tidak ada metastasis pada tulang, 14 bulan setelah terapi: tidak tsmpak residual/residif mass pada dinding dada sinistra, 15 bulan setelah terapi: pneumonic sinistra curiga pneumoic type metastasis, 16 bulan setelah terapi: tidak ada kelainan pada abdomen, 17 bulan setelah terapi: fibrosis dan konsolidasi di pulmo bilateral mengarah gambaran pneumonitis radiasi, 18 bulan setelah terapi: tidaktampak residual/residif mass pada dinding dada sinistra et dextra. </t>
  </si>
  <si>
    <t xml:space="preserve">Leg pain </t>
  </si>
  <si>
    <t>T2N2Mx</t>
  </si>
  <si>
    <t>2 bulan setelah terapi: tidak tampak kelainan pada abdomen, 3 bulan setelah terapi: tidak tampak residual/resididf mass pada dinding sinistra et dextra, 5 bulan setelah terapi: tak tampak pulmonal metastasis</t>
  </si>
  <si>
    <t xml:space="preserve">10 bulan setelah terapi: tak tampak gambaran metastasis, infrak maupun perdarahan, 12 bulan setelah terapi: tak tampak residual/resididf  mass pada dinding dada sinistra et dextra, 13 bulan setelah terapi: tidak tampak pulmonal metastasis,  16 bulan setelah terapi: tidak tampak metastasis tulang. </t>
  </si>
  <si>
    <t xml:space="preserve">Stadium IIIA, tak ada metastasis KGB regional , tak ada metastasis jauh </t>
  </si>
  <si>
    <t>T2N0M0</t>
  </si>
  <si>
    <t>1 bulan setelah terapi: tak tampak residual/resididf mass pada dinding dada sinistra et dextra dan tidak ada kelainan pada abdomen, 2 bulan setelah terapi: tidak ada pulmonal metastasis dan tidak ada metastasis tulang.</t>
  </si>
  <si>
    <t xml:space="preserve">7 bulan setelah terapi: tidak tampak residual/resididf mass pada dinding dada sinistra et dextra, 8 bulan setelah terapi: tidak tampak metastasis abdomen, 10 bulan setelah terapi: lesi hipodens mammae dextra, tak tampak residual/resisidf mass pada dinding dada sinistra, 11 bulan setelah terapi: tak tampak pulmonal metastasis, 13 bulan setelah terapi: tidak tampak pulmonal metastasis, 14 bulan setelah terapi: tak tampak pulmonal metastasis. </t>
  </si>
  <si>
    <t>pT1N1aMx</t>
  </si>
  <si>
    <t>1 bulan setelah terapi: tidak ada kelainan pada abdomen dan tak tampak residual /residif mass pada dinding dada sinistra, 4 bulan setelah terapi: metastasis pada tulang.</t>
  </si>
  <si>
    <t>Stadium IA, 1-3 KGB aksila, tidak dapat dinilai metastasis jauh</t>
  </si>
  <si>
    <t>pT1aN2aMx</t>
  </si>
  <si>
    <t>1 bulan setelah terapi: tak tampak pulmonal metastasis, 4 bulan yang lalu: tak tampak kelainan abdomen, 5 tahun yang lalu: tidak ada metastasis tulang</t>
  </si>
  <si>
    <t xml:space="preserve">7 bulan setelah terapi: tidak ada metastasis pada pulmonal, 8 bulan setelah terapi: tidak tampak residual/resisidf mass pada dinding dada dextra et sinistra, 11 bulan setelah terapi: nodul pulmo dextra suspek nodular type pulmonal metastasis, pneumonitis radiasi, 16 bulan setelah terapi: tak tampak residual.resididf mass pada dinding dada dextra et sinistra. </t>
  </si>
  <si>
    <t xml:space="preserve">Stadium IIIC, &gt;10 KGB aksila atau infraklavikula, metastasis jauh tak dapat dinilai </t>
  </si>
  <si>
    <t xml:space="preserve">PT3N3aMx </t>
  </si>
  <si>
    <t>2 bulan setelah terapi: tidak tampak residu/residif mass pada dinding dada sinistra et dextra, 3 bulan setelah terapi: tidak ada kelainan pada abdomen, 4 bulan setelah terapi: tidak ada kelainan pada thorax.</t>
  </si>
  <si>
    <t>9 bulan setelah terapi: tidak tampak metastasis pada tulang, 10 bulan setelah terapi: tidak tampak residual/resididf mass pada dinding dada sinistra et dextra, 11 bulan setelah terapi: tidak ada kelainan pada abdomen, 12 bulan setelah terapi tidak tampak metastasis pada thorax, 13 bulan setelah terapi: tidak ada residu/residif mass pada mammae bilateral.</t>
  </si>
  <si>
    <t>1 bulan setelah terapi: fibrosis mammae dextra, tidak ada residu/resididf mass pada dinding dada sinisrra, tidak ada metastasis pada tulang, 2 bulan setelah terapi: tidak ada kelainan pada abdomen, 3 bulan setelah terapi: tidak ada metastasis pulmonal.</t>
  </si>
  <si>
    <t xml:space="preserve">9 bulan setelah terapi: tidak tampak skeletal metastasis, 10 bulan setelah terapi: tidak tampak residu/residif mass pada dinding dada sinistra, 11 bulan setelah terapi: tidak tampak kelainan pada abdomen, 12 bulan setelah terapi: tidak tampak pulmonal metastasis, 17 bulan setelah terapi: tidak tampak residu/residif mass pada dinding dada bilateral mammae </t>
  </si>
  <si>
    <t>Stadium IA, tak ada metastasis KGB regional, tak ada metastasis jauh</t>
  </si>
  <si>
    <t xml:space="preserve">pT1cN0Mx </t>
  </si>
  <si>
    <t>2 bulan setelah terapi: heterogenously dense fibroglandular breast, tidak ada kelainan pada abdomen</t>
  </si>
  <si>
    <t>8 bulan setelah terapi:  tidak tampak resididf/residu mass pada dinding dada dextra et sinistra, 9 bulan setelah terapi: tidak tampak metastasis pada skeletal, 15 bulan setelah terapi: tidak ada kelainan pada abdomen, 21 bulan setelah terapi: heterogenous breast sinistra, tak tampakmasaa malignant maupun suspicious calcification, tidak tampak kelainan pada abdomen.</t>
  </si>
  <si>
    <t xml:space="preserve">Stadium IIB, 1-3 KGB aksila, metastasis jauh tak dapat dinilai. </t>
  </si>
  <si>
    <t xml:space="preserve">pT3N1aMx  </t>
  </si>
  <si>
    <t>1 bulan setelah terapi: tidak ada kelainan pada abdomen, 3 bulan setelah terapi: tidak tampak pulmonal metastasis</t>
  </si>
  <si>
    <t>7 bulan setelah terapi: tak tampak residual/resididf  mass pada mammae dextra et sinistra, 8 bulan setelah terapi: suspek metastasis hepatal, 9 bulan setelah terapi: tidak ttampak metastasis skeletal dan tidak tampak hepatal metastasis, 10 bulan setelah terapi: metastasis osteoblastic.</t>
  </si>
  <si>
    <t xml:space="preserve">pT3N0Mx </t>
  </si>
  <si>
    <t>1 bulan setelah terapi: tidak tampak residual/resididf mass dinding dada sinistra et dextra, 3 bulan setelah terapi: pulmo tak tampak kelainan, 4 bulan setelah terapi: tidak tampak metastasis pulmonal, 6 bulan setelah terapi: tidak tampak kelainan pada abdomen.</t>
  </si>
  <si>
    <t xml:space="preserve">9 bulan setelah terapi: tidak tampak metastasis osteoblastic, 10 bulan setelah terapi; tidak tampak kelainan pada pulmonal, 11 bulan setelah terapi: tidak tampak kelainan pada abdomen. </t>
  </si>
  <si>
    <t xml:space="preserve">Stadium IIIC, metastasis pada KGB infraklavikula ipsilateral, metastasis jauh tak dapat dinilai </t>
  </si>
  <si>
    <t xml:space="preserve">pT3N3aMx </t>
  </si>
  <si>
    <t>1 bulan setelah terapi: suspek myoma uteri, tidak ada kelainan pada abdomen, 6 bulan setelah terapi: mioma uteri, tidak ada kelainan pada hepar</t>
  </si>
  <si>
    <t>7 bulan setelah terapi: edema cutis regio dinding dada dextra, tidak tampak residu/resididf mass pada dinding dada dextra,9 bulan setelah terapi: tidak tampak metastasis osteoblastic, 14 bulan setelah terapi: tak tampak residu/resididf mass pada dinding dada dextra et sinistra, ada metastasis osteoblastic.</t>
  </si>
  <si>
    <t xml:space="preserve">Stadium IIIA, 1-3 KGB aksila, metastasis jauh tak dapat dinilai </t>
  </si>
  <si>
    <t>1 bulan setelah terapi: tidak tampak residual/residif mass pada dinding dada dextra et sinistra, nodul pulmo dextra suspek modular metastasis, tidak tampak kelainan pada abdomen, pneumonitis post radiasi segmen apial dan anterior lobus superior, nodul spongiform thyroid dextra benign.</t>
  </si>
  <si>
    <t xml:space="preserve">7 bulan setelah terapi: tidak tampak residual/residif mass pada dinding dada dextra et sinistra, suspec nodular pulmo metastasis pulmo dextra, nodular soliter di segmen apical lobus superior pulmo dextra, tidak tampak metastasis osteoblastic, penipisan korteks ren bilateral disertai peningkatan ekostruktur. </t>
  </si>
  <si>
    <t xml:space="preserve">Stadium IIA, 1-3 KGB aksila, metastasis jauh tak dapat dinilai </t>
  </si>
  <si>
    <t>pT1aN1aMx</t>
  </si>
  <si>
    <t>3 bulan setelah terapi: tak tampak residual/residif mass pada dinding dada sinistra, seroma perisuture ,5 bulan setelah terapi: tidak tampak kelainan pada shoulder joint, tidak tampak metastasis pada tulang/</t>
  </si>
  <si>
    <t>9 bulan setelah terapi: faktur os frontalis sinistra, atrofi cerebra senilis, tidak tampak kelainan pada SPN dan cavum nasi.</t>
  </si>
  <si>
    <t xml:space="preserve">pT3N2aMx  </t>
  </si>
  <si>
    <t>1 bulan setelah terapi: tidak tampak pulmonal metastasis, tidak tampak residual/resididf mass pada dinding dada dextra</t>
  </si>
  <si>
    <t xml:space="preserve">7 bulan setelah terapi: simple cyst ren dextra pola superior, tidak tampak kelainan pada hepar, 10 bulan setelah terapi: tidak tampak pulmonal metastasis. </t>
  </si>
  <si>
    <t>pT3N2aMx</t>
  </si>
  <si>
    <t>1 bulan setelah terapi: tidak tampak kelainan pada abdomen</t>
  </si>
  <si>
    <t>8 bulan setelah terapi: tidak tampak kelainan pada abdomen, 10 bulan setelah terapi: multiple nodul suspek type pulmonal metastasis</t>
  </si>
  <si>
    <t>yPT3NxMx</t>
  </si>
  <si>
    <t xml:space="preserve">1 bulan setelah terapi: tidak ada metastasis pada abdomen dan tidak ada metastasis pada pulmonal, 6 bulan setelah terapi: spondyloarthrosis lumbalis, dan tidak tampak metastasis pada skeletal. </t>
  </si>
  <si>
    <t xml:space="preserve">7 bulan setelah terapi: tak tampak residual/resididf mass pada dinding dada sinistra et dextra, 9 bulan setelah terapi: pulmo tak tampak kelainan, 12 bulan setelah terapi: tiak ada kelainan pada abdomen, 13 bulan setelah terapi: tak tampak residual/resisid mass pada dinding dada sinistra et dextra, 15 bulan setelah terapi: tidak tampak skeletal metastasis dan kelainan pulmo. </t>
  </si>
  <si>
    <t xml:space="preserve">2 bulan setelah terapi: small simple cyst mammae dextra, tak tampak residual/residif mass pada dinding dada sinistra et dextra, tidak ada kelainan pada abdomen, 5 bulan setelah terapi: tidak tampak residuall/residif mass pada dinding dada sinistra et dextra, tidak ada kelainan pada abdomen, tidak tampak pulmonal metastasis. </t>
  </si>
  <si>
    <t>11 bulan setelah terapi: tidak tampak residual/residif mass pada dinding dada sinistra et dextra, tidak tampak kelainan pada abdomen, infiltrat pulmo dextra mengarah pneumonia dextra, tak tampak bone metastasis</t>
  </si>
  <si>
    <t xml:space="preserve">Stadium IIIA, metastatasis KGB infraklavikula, metastasis jauh tak bisa dinilai </t>
  </si>
  <si>
    <t>pT3N3aMx</t>
  </si>
  <si>
    <t>1 bulan setelah terapi: tidak tampak khas tanda metastasis osteoblastic, tidak ada kelainan pada abdomen, 6 bulan setelah terapi: tidak tampak residual/resididf mass pada dinding dada dextra et sinistra.</t>
  </si>
  <si>
    <t xml:space="preserve">7 bulan setelah terapi: tidak tampak metastase pada pulmo dan skeletal, 8 bulan setelah terapi: tidak tampak kelainan pada abdomen. </t>
  </si>
  <si>
    <t>1 bulan setelah terapi: tidak tampak residual/residif mass pada dinding dada dextra et sinistra, 6 bulan setelah terapi: tidak ada kelainan pada abdomen.</t>
  </si>
  <si>
    <t xml:space="preserve">7 bulan setelah terapi: massa mediastrinum dextra tidak tampak skeletal metastasis, 8 bulan setelah terapi: tidak tampak residual/resididf mass pada dinding dada dextra et sinistra, seroma di regip perisutura dextra. </t>
  </si>
  <si>
    <t xml:space="preserve">2 bulan setelah terapi: tak tampak residual/resididf mass pada dinding dada sinistra et dextra, tak tampak kelainan pulmonal, 3 bulan setelah terapi tak tampak kelainan abdomen, 5 bulan setelah terapi: tak tampak residual/residif mass pada dinding dada sinistra, 6 bulan setelah terapi: tidak tampak pulmonal metastasis </t>
  </si>
  <si>
    <t>7 bulan setelah terapi: osteoclastik pada os parietal crani mengarah type metastasis.</t>
  </si>
  <si>
    <t xml:space="preserve">pT2N0Mx  </t>
  </si>
  <si>
    <t xml:space="preserve">1 bulan setelah terapi: tidak tampak skeletal metastasis, 5  bulan setelah terapi: tidak tampak kelainan abdomen, 6 bulan setelah terapi: FAM mammae dextra, tak tampak residual/resididf mass pada dinding dada sinistra et dextra, </t>
  </si>
  <si>
    <t>9 bulan setelah terapi: saat ini tidak tampak khas adanya tanda metastasis osteoblastic, 12 bulan setelah terapi: tak tampak kelainan pada abdomen dan tak tampak residual/residif mass pada dinding dada sinistra et dextra, tak tampak pulmonal metastasis.</t>
  </si>
  <si>
    <t>2 bulan setelah terapi: tak tampak residual/residif mass pada dinding dada sinistra et dextra, 4 bulan seperti terapi: tak tampak pulmonal metastasis.</t>
  </si>
  <si>
    <t>6 bulan setelah terapi: tak tampak kelainan pada abdomen, 9  bulan setelah terapi: tak tampak kelainan pada pulmonal dan limfonodi curiga metastasis axilla dextra (kekambuhan locoregional), tidak tampak residif mass dinding dada sinistra, 11 bullan setelah terapi: tak tampak pulmonal metastasis, 12 bulan setelah terapi: tak tampak skeletal metastasis osetoblastic</t>
  </si>
  <si>
    <t>1 bulan setelah terapi: tak tampak residual/resididf mass pada dinding dada dextra et sinistra, tak tampak pulmonal metastasis, 2 bulan setelah terapi: tak tampak kelainan pada abdomen</t>
  </si>
  <si>
    <t>10 bulan setelah terapi: tak tampak residual/residif mass pada dinding dada dextra dan tidak tampak kelainan pada abdomen, dan tidak ada kelainan pada pulmonal metastasis.</t>
  </si>
  <si>
    <t>1 bulan setelah terapi: tak tampak pulmonal metastasis, 3 bulan setelah terapi:  tak tampak residual/residif mass pada dinding dada sinistra et dextra, tidak tampak kelainan skeletal, tak tampak kelainan pulmonal, 4 bulan setelah terapi: tak tampak gambaran infrak perdarahan atau infeksi, tak tampak kelainan pada abdomen.</t>
  </si>
  <si>
    <t>11 bulan setelah terapi: tak tampak kelainan pada intracerebri maupun intracerebelli, tak tampak kelainan pada skeletal, tak tampak kelainan pada abdomen, tak tampak kelainan pada pulmo</t>
  </si>
  <si>
    <t xml:space="preserve">pT4bN3aMx  </t>
  </si>
  <si>
    <t xml:space="preserve">adjuvan </t>
  </si>
  <si>
    <t xml:space="preserve">4  bulan setelah terapi: tidak tampak pulmonal metastasis, 5 bulan setelah terapi: tidak tampak residual/resididf mass pada dinding dada sinistra, 7 bulan setelah terapi: tidak tampak kelainan pada abdomen </t>
  </si>
  <si>
    <t>10 bulan setelah terapi: tidak tampak skeletal metastasis, 11 bulan setelah terapi: tak tampak pulmonal metastasis, 14 bulan setelah terapi: tidak tampak residual/resididf pada dinding dada sinistra, 15 bulan setelah terapi: tidak ada kelainan pada tiroid, pasien masih datang kontrol hingga hari ini</t>
  </si>
  <si>
    <t>Diabetes Melitus</t>
  </si>
  <si>
    <t>Anemia</t>
  </si>
  <si>
    <t>Ulkus kronik</t>
  </si>
  <si>
    <t>Liver</t>
  </si>
  <si>
    <t>Hemiparesis sinistra</t>
  </si>
  <si>
    <t>Hemiplegia</t>
  </si>
  <si>
    <t>Aritmia</t>
  </si>
  <si>
    <t>Gagal Jantung</t>
  </si>
  <si>
    <t>Kholelitiasis</t>
  </si>
  <si>
    <t>Nyeri Sendi</t>
  </si>
  <si>
    <t>Leg Pain</t>
  </si>
  <si>
    <t>Low Back Pain</t>
  </si>
  <si>
    <t>Hypoalbuminemia</t>
  </si>
  <si>
    <t>Hiponatremia</t>
  </si>
  <si>
    <t>Efektivitas 6 Bulan setelah terapi</t>
  </si>
  <si>
    <t>Efektivitas 6 Bulan selanjutnya</t>
  </si>
  <si>
    <t>Stadium Code</t>
  </si>
  <si>
    <t>Stadium Level</t>
  </si>
  <si>
    <t>Keterlibatan Getah Bening</t>
  </si>
  <si>
    <t>Luminal B HER2 Negative</t>
  </si>
  <si>
    <t>Luminal A HER2 Positive</t>
  </si>
  <si>
    <t>Triple Negative</t>
  </si>
  <si>
    <t>Luminal B HER2 Positive</t>
  </si>
  <si>
    <t xml:space="preserve">Luminal A HER 2 Positive </t>
  </si>
  <si>
    <t xml:space="preserve">Luminal B HER2 Negative </t>
  </si>
  <si>
    <t>Luminal B HER 2 Positive</t>
  </si>
  <si>
    <t xml:space="preserve">Luminal B HER2 Negative  </t>
  </si>
  <si>
    <t xml:space="preserve">Luminal B HER2 Positive </t>
  </si>
  <si>
    <t>Lumina B HER2 Positive</t>
  </si>
  <si>
    <t>HER2 Enriched</t>
  </si>
  <si>
    <t xml:space="preserve">Triple Negative </t>
  </si>
  <si>
    <t xml:space="preserve">Luminal A HER2 Negative </t>
  </si>
  <si>
    <t xml:space="preserve">Luminal B  HER2 Negative  </t>
  </si>
  <si>
    <t>Subtipe Tumor</t>
  </si>
  <si>
    <t xml:space="preserve">Kategori Tumor </t>
  </si>
  <si>
    <t>Ukuran Tumor</t>
  </si>
  <si>
    <t>Waktu Terapi</t>
  </si>
  <si>
    <t>Efetivitas 2</t>
  </si>
  <si>
    <t>Efetivitas 1</t>
  </si>
  <si>
    <t>Luminal A HER2 Negative</t>
  </si>
  <si>
    <t xml:space="preserve">Luminal B  HER2 Positive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</si>
</sst>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7" x14ac:knownFonts="1">
    <font>
      <sz val="11"/>
      <color theme="1"/>
      <name val="Calibri"/>
      <family val="2"/>
      <scheme val="minor"/>
    </font>
    <font>
      <b/>
      <sz val="10"/>
      <color theme="1"/>
      <name val="Times New Roman"/>
      <family val="1"/>
    </font>
    <font>
      <b/>
      <sz val="10"/>
      <name val="Arial"/>
      <family val="2"/>
    </font>
    <font>
      <sz val="10"/>
      <color theme="1"/>
      <name val="Times New Roman"/>
      <family val="1"/>
    </font>
    <font>
      <sz val="10"/>
      <color rgb="FF000000"/>
      <name val="Times New Roman"/>
      <family val="1"/>
    </font>
    <font>
      <sz val="12"/>
      <color theme="1"/>
      <name val="Calibri"/>
      <family val="2"/>
    </font>
    <font>
      <sz val="12"/>
      <color rgb="FF000000"/>
      <name val="Calibri"/>
      <family val="2"/>
    </font>
  </fonts>
  <fills count="4">
    <fill>
      <patternFill patternType="none"/>
    </fill>
    <fill>
      <patternFill patternType="gray125"/>
    </fill>
    <fill>
      <patternFill patternType="solid">
        <fgColor rgb="FFFF9900"/>
        <bgColor rgb="FFFF9900"/>
      </patternFill>
    </fill>
    <fill>
      <patternFill patternType="solid">
        <fgColor theme="8" tint="0.39997558519241921"/>
        <bgColor indexed="64"/>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21">
    <xf numFmtId="0" fontId="0" fillId="0" borderId="0" xfId="0"/>
    <xf numFmtId="0" fontId="3" fillId="0" borderId="2" xfId="0" applyFont="1" applyBorder="1"/>
    <xf numFmtId="0" fontId="3" fillId="0" borderId="2" xfId="0" applyFont="1" applyBorder="1" applyAlignment="1">
      <alignment wrapText="1"/>
    </xf>
    <xf numFmtId="0" fontId="3" fillId="0" borderId="2" xfId="0" applyFont="1" applyBorder="1" applyAlignment="1">
      <alignment horizontal="left" vertical="top" wrapText="1"/>
    </xf>
    <xf numFmtId="0" fontId="3" fillId="0" borderId="2" xfId="0" applyFont="1" applyBorder="1" applyAlignment="1">
      <alignment horizontal="left" vertical="top"/>
    </xf>
    <xf numFmtId="164" fontId="3" fillId="0" borderId="2" xfId="0" applyNumberFormat="1" applyFont="1" applyBorder="1" applyAlignment="1">
      <alignment wrapText="1"/>
    </xf>
    <xf numFmtId="0" fontId="0" fillId="0" borderId="0" xfId="0" applyAlignment="1">
      <alignment wrapText="1"/>
    </xf>
    <xf numFmtId="0" fontId="1" fillId="2" borderId="2" xfId="0" applyFont="1" applyFill="1" applyBorder="1" applyAlignment="1">
      <alignment horizontal="center"/>
    </xf>
    <xf numFmtId="0" fontId="4" fillId="0" borderId="2" xfId="0" applyFont="1" applyBorder="1"/>
    <xf numFmtId="164" fontId="3" fillId="0" borderId="2" xfId="0" applyNumberFormat="1" applyFont="1" applyBorder="1"/>
    <xf numFmtId="0" fontId="3" fillId="0" borderId="2" xfId="0" applyFont="1" applyBorder="1" applyAlignment="1">
      <alignment vertical="center"/>
    </xf>
    <xf numFmtId="14" fontId="3" fillId="0" borderId="2" xfId="0" applyNumberFormat="1" applyFont="1" applyBorder="1"/>
    <xf numFmtId="0" fontId="3" fillId="0" borderId="2" xfId="0" applyFont="1" applyBorder="1" applyAlignment="1">
      <alignment vertical="top"/>
    </xf>
    <xf numFmtId="0" fontId="5" fillId="0" borderId="0" xfId="0" applyFont="1"/>
    <xf numFmtId="164" fontId="5" fillId="0" borderId="0" xfId="0" applyNumberFormat="1" applyFont="1"/>
    <xf numFmtId="0" fontId="3" fillId="0" borderId="3" xfId="0" applyFont="1" applyBorder="1"/>
    <xf numFmtId="164" fontId="3" fillId="0" borderId="0" xfId="0" applyNumberFormat="1" applyFont="1"/>
    <xf numFmtId="0" fontId="6" fillId="0" borderId="0" xfId="0" applyFont="1"/>
    <xf numFmtId="0" fontId="1" fillId="2" borderId="1" xfId="0" applyFont="1" applyFill="1" applyBorder="1"/>
    <xf numFmtId="0" fontId="2" fillId="3" borderId="1" xfId="0" applyFont="1" applyFill="1" applyBorder="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3CAB-2155-48C2-8106-77CC34DFAAC5}">
  <dimension ref="A1:AH57"/>
  <sheetViews>
    <sheetView tabSelected="1" topLeftCell="Z1" workbookViewId="0">
      <selection activeCell="AJ3" sqref="AJ3"/>
    </sheetView>
  </sheetViews>
  <sheetFormatPr defaultRowHeight="14.5" x14ac:dyDescent="0.35"/>
  <cols>
    <col min="19" max="19" width="102" bestFit="1" customWidth="1"/>
    <col min="21" max="21" width="29.54296875" bestFit="1" customWidth="1"/>
    <col min="22" max="22" width="14" bestFit="1" customWidth="1"/>
    <col min="23" max="23" width="8.7265625" style="6"/>
    <col min="24" max="24" width="12.54296875" bestFit="1" customWidth="1"/>
    <col min="25" max="25" width="12.54296875" customWidth="1"/>
    <col min="27" max="27" width="9.54296875" bestFit="1" customWidth="1"/>
    <col min="28" max="28" width="9.1796875" bestFit="1" customWidth="1"/>
    <col min="32" max="32" width="9.6328125" bestFit="1" customWidth="1"/>
    <col min="34" max="34" width="20" bestFit="1" customWidth="1"/>
  </cols>
  <sheetData>
    <row r="1" spans="1:34" ht="26.5" x14ac:dyDescent="0.35">
      <c r="A1" s="18" t="s">
        <v>0</v>
      </c>
      <c r="B1" s="18" t="s">
        <v>1</v>
      </c>
      <c r="C1" s="18" t="s">
        <v>32</v>
      </c>
      <c r="D1" s="18" t="s">
        <v>201</v>
      </c>
      <c r="E1" s="18" t="s">
        <v>200</v>
      </c>
      <c r="F1" s="18" t="s">
        <v>202</v>
      </c>
      <c r="G1" s="18" t="s">
        <v>203</v>
      </c>
      <c r="H1" s="18" t="s">
        <v>204</v>
      </c>
      <c r="I1" s="18" t="s">
        <v>205</v>
      </c>
      <c r="J1" s="18" t="s">
        <v>199</v>
      </c>
      <c r="K1" s="18" t="s">
        <v>78</v>
      </c>
      <c r="L1" s="18" t="s">
        <v>206</v>
      </c>
      <c r="M1" s="18" t="s">
        <v>207</v>
      </c>
      <c r="N1" s="18" t="s">
        <v>208</v>
      </c>
      <c r="O1" s="18" t="s">
        <v>209</v>
      </c>
      <c r="P1" s="18" t="s">
        <v>210</v>
      </c>
      <c r="Q1" s="18" t="s">
        <v>211</v>
      </c>
      <c r="R1" s="18" t="s">
        <v>212</v>
      </c>
      <c r="S1" s="19" t="s">
        <v>2</v>
      </c>
      <c r="T1" s="19" t="s">
        <v>216</v>
      </c>
      <c r="U1" s="19" t="s">
        <v>217</v>
      </c>
      <c r="V1" s="18" t="s">
        <v>215</v>
      </c>
      <c r="W1" s="20" t="s">
        <v>232</v>
      </c>
      <c r="X1" s="18" t="s">
        <v>233</v>
      </c>
      <c r="Y1" s="18" t="s">
        <v>234</v>
      </c>
      <c r="Z1" s="18" t="s">
        <v>3</v>
      </c>
      <c r="AA1" s="18" t="s">
        <v>4</v>
      </c>
      <c r="AB1" s="18" t="s">
        <v>5</v>
      </c>
      <c r="AC1" s="18" t="s">
        <v>235</v>
      </c>
      <c r="AD1" s="18" t="s">
        <v>6</v>
      </c>
      <c r="AE1" s="7" t="s">
        <v>213</v>
      </c>
      <c r="AF1" s="7" t="s">
        <v>237</v>
      </c>
      <c r="AG1" s="7" t="s">
        <v>214</v>
      </c>
      <c r="AH1" s="7" t="s">
        <v>236</v>
      </c>
    </row>
    <row r="2" spans="1:34" ht="39.5" x14ac:dyDescent="0.35">
      <c r="A2" s="8">
        <v>66</v>
      </c>
      <c r="B2" s="1" t="s">
        <v>7</v>
      </c>
      <c r="C2" s="1" t="str">
        <f t="shared" ref="C2:C33" si="0">IF(ISNUMBER(SEARCH(LOWER($C$1),LOWER(B2))),"Ya","Tidak")</f>
        <v>Ya</v>
      </c>
      <c r="D2" s="1" t="str">
        <f t="shared" ref="D2:D33" si="1">IF(ISNUMBER(SEARCH(LOWER($D$1),LOWER(B2))),"Ya","Tidak")</f>
        <v>Tidak</v>
      </c>
      <c r="E2" s="1" t="str">
        <f t="shared" ref="E2:E33" si="2">IF(ISNUMBER(SEARCH(LOWER($E$1),LOWER(B2))),"Ya","Tidak")</f>
        <v>Tidak</v>
      </c>
      <c r="F2" s="1" t="str">
        <f t="shared" ref="F2:F33" si="3">IF(ISNUMBER(SEARCH(LOWER($F$1),LOWER(B2))),"Ya","Tidak")</f>
        <v>Tidak</v>
      </c>
      <c r="G2" s="1" t="str">
        <f t="shared" ref="G2:G33" si="4">IF(ISNUMBER(SEARCH(LOWER($G$1),LOWER(B2))),"Ya","Tidak")</f>
        <v>Tidak</v>
      </c>
      <c r="H2" s="1" t="str">
        <f t="shared" ref="H2:H33" si="5">IF(ISNUMBER(SEARCH(LOWER($H$1),LOWER(B2))),"Ya","Tidak")</f>
        <v>Tidak</v>
      </c>
      <c r="I2" s="1" t="str">
        <f t="shared" ref="I2:I33" si="6">IF(ISNUMBER(SEARCH(LOWER($I$1),LOWER(B2))),"Ya","Tidak")</f>
        <v>Tidak</v>
      </c>
      <c r="J2" s="1" t="str">
        <f t="shared" ref="J2:J33" si="7">IF(OR(ISNUMBER(SEARCH(LOWER($J$1),LOWER(B2))), ISNUMBER(SEARCH("dm",LOWER(B2)))),"Ya","Tidak")</f>
        <v>Tidak</v>
      </c>
      <c r="K2" s="1" t="str">
        <f t="shared" ref="K2:K33" si="8">IF(ISNUMBER(SEARCH(LOWER($K$1),LOWER(B2))),"Ya","Tidak")</f>
        <v>Tidak</v>
      </c>
      <c r="L2" s="1" t="str">
        <f t="shared" ref="L2:L33" si="9">IF(ISNUMBER(SEARCH(LOWER($L$1),LOWER(B2))),"Ya","Tidak")</f>
        <v>Tidak</v>
      </c>
      <c r="M2" s="1" t="str">
        <f t="shared" ref="M2:M33" si="10">IF(ISNUMBER(SEARCH(LOWER($M$1),LOWER(B2))),"Ya","Tidak")</f>
        <v>Tidak</v>
      </c>
      <c r="N2" s="1" t="str">
        <f t="shared" ref="N2:N33" si="11">IF(ISNUMBER(SEARCH(LOWER($N$1),LOWER(B2))),"Ya","Tidak")</f>
        <v>Ya</v>
      </c>
      <c r="O2" s="1" t="str">
        <f t="shared" ref="O2:O33" si="12">IF(ISNUMBER(SEARCH(LOWER($O$1),LOWER(B2))),"Ya","Tidak")</f>
        <v>Tidak</v>
      </c>
      <c r="P2" s="1" t="str">
        <f t="shared" ref="P2:P33" si="13">IF(ISNUMBER(SEARCH(LOWER($P$1),LOWER(B2))),"Ya","Tidak")</f>
        <v>Tidak</v>
      </c>
      <c r="Q2" s="1" t="str">
        <f t="shared" ref="Q2:Q33" si="14">IF(ISNUMBER(SEARCH(LOWER($Q$1),LOWER(B2))),"Ya","Tidak")</f>
        <v>Tidak</v>
      </c>
      <c r="R2" s="1" t="str">
        <f t="shared" ref="R2:R33" si="15">IF(ISNUMBER(SEARCH(LOWER($R$1),LOWER(B2))),"Ya","Tidak")</f>
        <v>Tidak</v>
      </c>
      <c r="S2" s="9" t="s">
        <v>8</v>
      </c>
      <c r="T2" s="1" t="str">
        <f t="shared" ref="T2:T33" si="16">IF(S2="",0,IF(ISNUMBER(SEARCH("IV",S2)),"IV",IF(OR(ISNUMBER(SEARCH("IIIC",S2)),ISNUMBER(SEARCH("III C",S2))),"IIIC",
IF(OR(ISNUMBER(SEARCH("IIIB",S2)),ISNUMBER(SEARCH("III B",S2))),"IIIB",IF(OR(ISNUMBER(SEARCH("IIIA",S2)),ISNUMBER(SEARCH("III A",S2))),"IIIA",
IF(OR(ISNUMBER(SEARCH("IIB",S2)),ISNUMBER(SEARCH("II B",S2))),"IIB",IF(OR(ISNUMBER(SEARCH("IIA",S2)),ISNUMBER(SEARCH("II A",S2))),"IIA",
IF(OR(ISNUMBER(SEARCH("IB",S2)),ISNUMBER(SEARCH("I B",S2))),"IB",IF(OR(ISNUMBER(SEARCH("IA",S2)),ISNUMBER(SEARCH("I A",S2))),"IA",0)))))))))</f>
        <v>IIA</v>
      </c>
      <c r="U2" s="1" t="str">
        <f>IF(S2="","Tidak ada metastasis KGB Regional",IF(OR(ISNUMBER(SEARCH(LOWER("tidak ada metastasis KGB"),LOWER(S2))),ISNUMBER(SEARCH(LOWER("tak ada metastasis KGB"),LOWER(S2)))),"Tidak ada metastasis KGB Regional",IF(OR(ISNUMBER(SEARCH(LOWER("KGB Regional tak dapat dinilai"),LOWER(S2))),ISNUMBER(SEARCH(LOWER("KGB Regional tidak dapat dinilai"),LOWER(S2)))),"KGB Regional tak dapat dinilai",IF(ISNUMBER(SEARCH(LOWER("Tak ada metastasis KGB Regional"),LOWER(S2))),"Tak ada metastasis KGB Regional",IF(ISNUMBER(SEARCH(LOWER("KGB aksila ipsilateral"),LOWER(S2))),"Metastasis pada KGB aksila ipsilateral",IF(ISNUMBER(SEARCH(LOWER("1-3 KGB aksila"),LOWER(S2))),"1-3 KGB aksila",IF(ISNUMBER(SEARCH(LOWER("4-9 KGB aksila"),LOWER(S2))),"4-9 KGB aksila",IF(ISNUMBER(SEARCH(LOWER("&gt;10 KGB aksila atau infraklavikula"),LOWER(S2))),"&gt;10 KGB aksila atau infraklavikula",IF(ISNUMBER(SEARCH(LOWER("infraklavikula"),LOWER(S2))),"Metastasis pada KGB infraklavikula ipsilateral",0)))))))))</f>
        <v>Metastasis pada KGB aksila ipsilateral</v>
      </c>
      <c r="V2" s="1" t="s">
        <v>9</v>
      </c>
      <c r="W2" s="2" t="s">
        <v>223</v>
      </c>
      <c r="X2" s="1" t="s">
        <v>10</v>
      </c>
      <c r="Y2" s="1" t="str">
        <f t="shared" ref="Y2:Y33" si="17">IF(X2="T4","&gt;5 cm dengan eksistensi langsung ke dinding dada/kulit",IF(X2="T3","&gt;5cm",IF(X2="T2","&gt;2 cm - &lt;5cm",IF(X2="T1","&lt;2 cm - 2 cm",0))))</f>
        <v>&gt;2 cm - &lt;5cm</v>
      </c>
      <c r="Z2" s="1" t="s">
        <v>11</v>
      </c>
      <c r="AA2" s="9">
        <v>44991</v>
      </c>
      <c r="AB2" s="9">
        <v>45114</v>
      </c>
      <c r="AC2" s="1">
        <f t="shared" ref="AC2:AC33" si="18">DATEDIF(AA2, AB2, "d") + 1</f>
        <v>124</v>
      </c>
      <c r="AD2" s="1">
        <v>25</v>
      </c>
      <c r="AE2" s="1" t="s">
        <v>12</v>
      </c>
      <c r="AF2" s="1" t="str">
        <f t="shared" ref="AF2:AF33" si="19">IF(AE2="","Tidak ada",IF(OR(ISNUMBER(SEARCH("tidak",LOWER(AE2))), ISNUMBER(SEARCH("tak",LOWER(AE2)))),"Tidak ada","Ada"))</f>
        <v>Tidak ada</v>
      </c>
      <c r="AG2" s="1" t="s">
        <v>13</v>
      </c>
      <c r="AH2" s="1" t="str">
        <f t="shared" ref="AH2:AH33" si="20">IF(AG2="","Tidak ada",IF(OR(ISNUMBER(SEARCH("tidak",LOWER(AG2))), ISNUMBER(SEARCH("tak",LOWER(AG2)))),"Tidak ada","Ada"))</f>
        <v>Tidak ada</v>
      </c>
    </row>
    <row r="3" spans="1:34" ht="39.5" x14ac:dyDescent="0.35">
      <c r="A3" s="8">
        <v>49</v>
      </c>
      <c r="B3" s="1" t="s">
        <v>14</v>
      </c>
      <c r="C3" s="1" t="str">
        <f t="shared" si="0"/>
        <v>Ya</v>
      </c>
      <c r="D3" s="1" t="str">
        <f t="shared" si="1"/>
        <v>Tidak</v>
      </c>
      <c r="E3" s="1" t="str">
        <f t="shared" si="2"/>
        <v>Tidak</v>
      </c>
      <c r="F3" s="1" t="str">
        <f t="shared" si="3"/>
        <v>Tidak</v>
      </c>
      <c r="G3" s="1" t="str">
        <f t="shared" si="4"/>
        <v>Tidak</v>
      </c>
      <c r="H3" s="1" t="str">
        <f t="shared" si="5"/>
        <v>Tidak</v>
      </c>
      <c r="I3" s="1" t="str">
        <f t="shared" si="6"/>
        <v>Tidak</v>
      </c>
      <c r="J3" s="1" t="str">
        <f t="shared" si="7"/>
        <v>Tidak</v>
      </c>
      <c r="K3" s="1" t="str">
        <f t="shared" si="8"/>
        <v>Tidak</v>
      </c>
      <c r="L3" s="1" t="str">
        <f t="shared" si="9"/>
        <v>Tidak</v>
      </c>
      <c r="M3" s="1" t="str">
        <f t="shared" si="10"/>
        <v>Tidak</v>
      </c>
      <c r="N3" s="1" t="str">
        <f t="shared" si="11"/>
        <v>Tidak</v>
      </c>
      <c r="O3" s="1" t="str">
        <f t="shared" si="12"/>
        <v>Tidak</v>
      </c>
      <c r="P3" s="1" t="str">
        <f t="shared" si="13"/>
        <v>Tidak</v>
      </c>
      <c r="Q3" s="1" t="str">
        <f t="shared" si="14"/>
        <v>Tidak</v>
      </c>
      <c r="R3" s="1" t="str">
        <f t="shared" si="15"/>
        <v>Tidak</v>
      </c>
      <c r="S3" s="9" t="s">
        <v>15</v>
      </c>
      <c r="T3" s="1" t="str">
        <f t="shared" si="16"/>
        <v>IIB</v>
      </c>
      <c r="U3" s="1" t="str">
        <f t="shared" ref="U3:U57" si="21">IF(S3="","Tidak ada metastasis KGB Regional",IF(OR(ISNUMBER(SEARCH(LOWER("tidak ada metastasis KGB"),LOWER(S3))),ISNUMBER(SEARCH(LOWER("tak ada metastasis KGB"),LOWER(S3)))),"Tidak ada metastasis KGB Regional",IF(OR(ISNUMBER(SEARCH(LOWER("KGB Regional tak dapat dinilai"),LOWER(S3))),ISNUMBER(SEARCH(LOWER("KGB Regional tidak dapat dinilai"),LOWER(S3)))),"KGB Regional tak dapat dinilai",IF(ISNUMBER(SEARCH(LOWER("Tak ada metastasis KGB Regional"),LOWER(S3))),"Tak ada metastasis KGB Regional",IF(ISNUMBER(SEARCH(LOWER("KGB aksila ipsilateral"),LOWER(S3))),"Metastasis pada KGB aksila ipsilateral",IF(ISNUMBER(SEARCH(LOWER("1-3 KGB aksila"),LOWER(S3))),"1-3 KGB aksila",IF(ISNUMBER(SEARCH(LOWER("4-9 KGB aksila"),LOWER(S3))),"4-9 KGB aksila",IF(ISNUMBER(SEARCH(LOWER("&gt;10 KGB aksila atau infraklavikula"),LOWER(S3))),"&gt;10 KGB aksila atau infraklavikula",IF(ISNUMBER(SEARCH(LOWER("infraklavikula"),LOWER(S3))),"Metastasis pada KGB infraklavikula ipsilateral",0)))))))))</f>
        <v>Metastasis pada KGB aksila ipsilateral</v>
      </c>
      <c r="V3" s="1" t="s">
        <v>16</v>
      </c>
      <c r="W3" s="2" t="s">
        <v>218</v>
      </c>
      <c r="X3" s="1" t="s">
        <v>17</v>
      </c>
      <c r="Y3" s="1" t="str">
        <f t="shared" si="17"/>
        <v>&gt;5cm</v>
      </c>
      <c r="Z3" s="1" t="s">
        <v>11</v>
      </c>
      <c r="AA3" s="9">
        <v>44677</v>
      </c>
      <c r="AB3" s="9">
        <v>44791</v>
      </c>
      <c r="AC3" s="1">
        <f t="shared" si="18"/>
        <v>115</v>
      </c>
      <c r="AD3" s="1">
        <v>25</v>
      </c>
      <c r="AE3" s="1" t="s">
        <v>18</v>
      </c>
      <c r="AF3" s="1" t="str">
        <f t="shared" si="19"/>
        <v>Tidak ada</v>
      </c>
      <c r="AG3" s="1" t="s">
        <v>13</v>
      </c>
      <c r="AH3" s="1" t="str">
        <f t="shared" si="20"/>
        <v>Tidak ada</v>
      </c>
    </row>
    <row r="4" spans="1:34" ht="39.5" x14ac:dyDescent="0.35">
      <c r="A4" s="8">
        <v>53</v>
      </c>
      <c r="B4" s="1" t="s">
        <v>19</v>
      </c>
      <c r="C4" s="1" t="str">
        <f t="shared" si="0"/>
        <v>Ya</v>
      </c>
      <c r="D4" s="1" t="str">
        <f t="shared" si="1"/>
        <v>Tidak</v>
      </c>
      <c r="E4" s="1" t="str">
        <f t="shared" si="2"/>
        <v>Tidak</v>
      </c>
      <c r="F4" s="1" t="str">
        <f t="shared" si="3"/>
        <v>Ya</v>
      </c>
      <c r="G4" s="1" t="str">
        <f t="shared" si="4"/>
        <v>Tidak</v>
      </c>
      <c r="H4" s="1" t="str">
        <f t="shared" si="5"/>
        <v>Tidak</v>
      </c>
      <c r="I4" s="1" t="str">
        <f t="shared" si="6"/>
        <v>Tidak</v>
      </c>
      <c r="J4" s="1" t="str">
        <f t="shared" si="7"/>
        <v>Tidak</v>
      </c>
      <c r="K4" s="1" t="str">
        <f t="shared" si="8"/>
        <v>Tidak</v>
      </c>
      <c r="L4" s="1" t="str">
        <f t="shared" si="9"/>
        <v>Tidak</v>
      </c>
      <c r="M4" s="1" t="str">
        <f t="shared" si="10"/>
        <v>Tidak</v>
      </c>
      <c r="N4" s="1" t="str">
        <f t="shared" si="11"/>
        <v>Tidak</v>
      </c>
      <c r="O4" s="1" t="str">
        <f t="shared" si="12"/>
        <v>Tidak</v>
      </c>
      <c r="P4" s="1" t="str">
        <f t="shared" si="13"/>
        <v>Tidak</v>
      </c>
      <c r="Q4" s="1" t="str">
        <f t="shared" si="14"/>
        <v>Tidak</v>
      </c>
      <c r="R4" s="1" t="str">
        <f t="shared" si="15"/>
        <v>Tidak</v>
      </c>
      <c r="S4" s="9" t="s">
        <v>20</v>
      </c>
      <c r="T4" s="1" t="str">
        <f t="shared" si="16"/>
        <v>IIIB</v>
      </c>
      <c r="U4" s="1" t="str">
        <f t="shared" si="21"/>
        <v>1-3 KGB aksila</v>
      </c>
      <c r="V4" s="1" t="s">
        <v>21</v>
      </c>
      <c r="W4" s="2" t="s">
        <v>218</v>
      </c>
      <c r="X4" s="1" t="s">
        <v>22</v>
      </c>
      <c r="Y4" s="1" t="str">
        <f t="shared" si="17"/>
        <v>&gt;5 cm dengan eksistensi langsung ke dinding dada/kulit</v>
      </c>
      <c r="Z4" s="1" t="s">
        <v>11</v>
      </c>
      <c r="AA4" s="9">
        <v>44733</v>
      </c>
      <c r="AB4" s="9">
        <v>44950</v>
      </c>
      <c r="AC4" s="1">
        <f t="shared" si="18"/>
        <v>218</v>
      </c>
      <c r="AD4" s="1">
        <v>30</v>
      </c>
      <c r="AE4" s="10" t="s">
        <v>23</v>
      </c>
      <c r="AF4" s="1" t="str">
        <f t="shared" si="19"/>
        <v>Tidak ada</v>
      </c>
      <c r="AG4" s="1" t="s">
        <v>24</v>
      </c>
      <c r="AH4" s="1" t="str">
        <f t="shared" si="20"/>
        <v>Tidak ada</v>
      </c>
    </row>
    <row r="5" spans="1:34" ht="39.5" x14ac:dyDescent="0.35">
      <c r="A5" s="8">
        <v>45</v>
      </c>
      <c r="B5" s="1"/>
      <c r="C5" s="1" t="str">
        <f t="shared" si="0"/>
        <v>Tidak</v>
      </c>
      <c r="D5" s="1" t="str">
        <f t="shared" si="1"/>
        <v>Tidak</v>
      </c>
      <c r="E5" s="1" t="str">
        <f t="shared" si="2"/>
        <v>Tidak</v>
      </c>
      <c r="F5" s="1" t="str">
        <f t="shared" si="3"/>
        <v>Tidak</v>
      </c>
      <c r="G5" s="1" t="str">
        <f t="shared" si="4"/>
        <v>Tidak</v>
      </c>
      <c r="H5" s="1" t="str">
        <f t="shared" si="5"/>
        <v>Tidak</v>
      </c>
      <c r="I5" s="1" t="str">
        <f t="shared" si="6"/>
        <v>Tidak</v>
      </c>
      <c r="J5" s="1" t="str">
        <f t="shared" si="7"/>
        <v>Tidak</v>
      </c>
      <c r="K5" s="1" t="str">
        <f t="shared" si="8"/>
        <v>Tidak</v>
      </c>
      <c r="L5" s="1" t="str">
        <f t="shared" si="9"/>
        <v>Tidak</v>
      </c>
      <c r="M5" s="1" t="str">
        <f t="shared" si="10"/>
        <v>Tidak</v>
      </c>
      <c r="N5" s="1" t="str">
        <f t="shared" si="11"/>
        <v>Tidak</v>
      </c>
      <c r="O5" s="1" t="str">
        <f t="shared" si="12"/>
        <v>Tidak</v>
      </c>
      <c r="P5" s="1" t="str">
        <f t="shared" si="13"/>
        <v>Tidak</v>
      </c>
      <c r="Q5" s="1" t="str">
        <f t="shared" si="14"/>
        <v>Tidak</v>
      </c>
      <c r="R5" s="1" t="str">
        <f t="shared" si="15"/>
        <v>Tidak</v>
      </c>
      <c r="S5" s="9" t="s">
        <v>8</v>
      </c>
      <c r="T5" s="1" t="str">
        <f t="shared" si="16"/>
        <v>IIA</v>
      </c>
      <c r="U5" s="1" t="str">
        <f t="shared" si="21"/>
        <v>Metastasis pada KGB aksila ipsilateral</v>
      </c>
      <c r="V5" s="1" t="s">
        <v>9</v>
      </c>
      <c r="W5" s="2" t="s">
        <v>223</v>
      </c>
      <c r="X5" s="1" t="s">
        <v>10</v>
      </c>
      <c r="Y5" s="1" t="str">
        <f t="shared" si="17"/>
        <v>&gt;2 cm - &lt;5cm</v>
      </c>
      <c r="Z5" s="1" t="s">
        <v>11</v>
      </c>
      <c r="AA5" s="9">
        <v>45273</v>
      </c>
      <c r="AB5" s="9">
        <v>45387</v>
      </c>
      <c r="AC5" s="1">
        <f t="shared" si="18"/>
        <v>115</v>
      </c>
      <c r="AD5" s="1">
        <v>30</v>
      </c>
      <c r="AE5" s="10" t="s">
        <v>25</v>
      </c>
      <c r="AF5" s="1" t="str">
        <f t="shared" si="19"/>
        <v>Tidak ada</v>
      </c>
      <c r="AG5" s="1" t="s">
        <v>26</v>
      </c>
      <c r="AH5" s="1" t="str">
        <f t="shared" si="20"/>
        <v>Tidak ada</v>
      </c>
    </row>
    <row r="6" spans="1:34" ht="26.5" x14ac:dyDescent="0.35">
      <c r="A6" s="1">
        <v>37</v>
      </c>
      <c r="B6" s="1" t="s">
        <v>27</v>
      </c>
      <c r="C6" s="1" t="str">
        <f t="shared" si="0"/>
        <v>Tidak</v>
      </c>
      <c r="D6" s="1" t="str">
        <f t="shared" si="1"/>
        <v>Tidak</v>
      </c>
      <c r="E6" s="1" t="str">
        <f t="shared" si="2"/>
        <v>Ya</v>
      </c>
      <c r="F6" s="1" t="str">
        <f t="shared" si="3"/>
        <v>Tidak</v>
      </c>
      <c r="G6" s="1" t="str">
        <f t="shared" si="4"/>
        <v>Ya</v>
      </c>
      <c r="H6" s="1" t="str">
        <f t="shared" si="5"/>
        <v>Tidak</v>
      </c>
      <c r="I6" s="1" t="str">
        <f t="shared" si="6"/>
        <v>Tidak</v>
      </c>
      <c r="J6" s="1" t="str">
        <f t="shared" si="7"/>
        <v>Tidak</v>
      </c>
      <c r="K6" s="1" t="str">
        <f t="shared" si="8"/>
        <v>Tidak</v>
      </c>
      <c r="L6" s="1" t="str">
        <f t="shared" si="9"/>
        <v>Tidak</v>
      </c>
      <c r="M6" s="1" t="str">
        <f t="shared" si="10"/>
        <v>Tidak</v>
      </c>
      <c r="N6" s="1" t="str">
        <f t="shared" si="11"/>
        <v>Tidak</v>
      </c>
      <c r="O6" s="1" t="str">
        <f t="shared" si="12"/>
        <v>Tidak</v>
      </c>
      <c r="P6" s="1" t="str">
        <f t="shared" si="13"/>
        <v>Tidak</v>
      </c>
      <c r="Q6" s="1" t="str">
        <f t="shared" si="14"/>
        <v>Tidak</v>
      </c>
      <c r="R6" s="1" t="str">
        <f t="shared" si="15"/>
        <v>Tidak</v>
      </c>
      <c r="S6" s="9" t="s">
        <v>28</v>
      </c>
      <c r="T6" s="1" t="str">
        <f t="shared" si="16"/>
        <v>IIIB</v>
      </c>
      <c r="U6" s="1" t="str">
        <f t="shared" si="21"/>
        <v>Metastasis pada KGB aksila ipsilateral</v>
      </c>
      <c r="V6" s="1" t="s">
        <v>29</v>
      </c>
      <c r="W6" s="2" t="s">
        <v>76</v>
      </c>
      <c r="X6" s="1" t="s">
        <v>17</v>
      </c>
      <c r="Y6" s="1" t="str">
        <f t="shared" si="17"/>
        <v>&gt;5cm</v>
      </c>
      <c r="Z6" s="1" t="s">
        <v>11</v>
      </c>
      <c r="AA6" s="9">
        <v>44615</v>
      </c>
      <c r="AB6" s="9">
        <v>44615</v>
      </c>
      <c r="AC6" s="1">
        <f t="shared" si="18"/>
        <v>1</v>
      </c>
      <c r="AD6" s="1">
        <v>25</v>
      </c>
      <c r="AE6" s="10" t="s">
        <v>30</v>
      </c>
      <c r="AF6" s="1" t="str">
        <f t="shared" si="19"/>
        <v>Tidak ada</v>
      </c>
      <c r="AG6" s="1" t="s">
        <v>31</v>
      </c>
      <c r="AH6" s="1" t="str">
        <f t="shared" si="20"/>
        <v>Tidak ada</v>
      </c>
    </row>
    <row r="7" spans="1:34" ht="26" x14ac:dyDescent="0.35">
      <c r="A7" s="1">
        <v>55</v>
      </c>
      <c r="B7" s="1" t="s">
        <v>32</v>
      </c>
      <c r="C7" s="1" t="str">
        <f t="shared" si="0"/>
        <v>Ya</v>
      </c>
      <c r="D7" s="1" t="str">
        <f t="shared" si="1"/>
        <v>Tidak</v>
      </c>
      <c r="E7" s="1" t="str">
        <f t="shared" si="2"/>
        <v>Tidak</v>
      </c>
      <c r="F7" s="1" t="str">
        <f t="shared" si="3"/>
        <v>Tidak</v>
      </c>
      <c r="G7" s="1" t="str">
        <f t="shared" si="4"/>
        <v>Tidak</v>
      </c>
      <c r="H7" s="1" t="str">
        <f t="shared" si="5"/>
        <v>Tidak</v>
      </c>
      <c r="I7" s="1" t="str">
        <f t="shared" si="6"/>
        <v>Tidak</v>
      </c>
      <c r="J7" s="1" t="str">
        <f t="shared" si="7"/>
        <v>Tidak</v>
      </c>
      <c r="K7" s="1" t="str">
        <f t="shared" si="8"/>
        <v>Tidak</v>
      </c>
      <c r="L7" s="1" t="str">
        <f t="shared" si="9"/>
        <v>Tidak</v>
      </c>
      <c r="M7" s="1" t="str">
        <f t="shared" si="10"/>
        <v>Tidak</v>
      </c>
      <c r="N7" s="1" t="str">
        <f t="shared" si="11"/>
        <v>Tidak</v>
      </c>
      <c r="O7" s="1" t="str">
        <f t="shared" si="12"/>
        <v>Tidak</v>
      </c>
      <c r="P7" s="1" t="str">
        <f t="shared" si="13"/>
        <v>Tidak</v>
      </c>
      <c r="Q7" s="1" t="str">
        <f t="shared" si="14"/>
        <v>Tidak</v>
      </c>
      <c r="R7" s="1" t="str">
        <f t="shared" si="15"/>
        <v>Tidak</v>
      </c>
      <c r="S7" s="9" t="s">
        <v>28</v>
      </c>
      <c r="T7" s="1" t="str">
        <f t="shared" si="16"/>
        <v>IIIB</v>
      </c>
      <c r="U7" s="1" t="str">
        <f t="shared" si="21"/>
        <v>Metastasis pada KGB aksila ipsilateral</v>
      </c>
      <c r="V7" s="1" t="s">
        <v>33</v>
      </c>
      <c r="W7" s="3" t="s">
        <v>220</v>
      </c>
      <c r="X7" s="4" t="s">
        <v>17</v>
      </c>
      <c r="Y7" s="1" t="str">
        <f t="shared" si="17"/>
        <v>&gt;5cm</v>
      </c>
      <c r="Z7" s="1" t="s">
        <v>11</v>
      </c>
      <c r="AA7" s="9">
        <v>44832</v>
      </c>
      <c r="AB7" s="9">
        <v>44970</v>
      </c>
      <c r="AC7" s="1">
        <f t="shared" si="18"/>
        <v>139</v>
      </c>
      <c r="AD7" s="1">
        <v>30</v>
      </c>
      <c r="AE7" s="1" t="s">
        <v>34</v>
      </c>
      <c r="AF7" s="1" t="str">
        <f t="shared" si="19"/>
        <v>Tidak ada</v>
      </c>
      <c r="AG7" s="1"/>
      <c r="AH7" s="1" t="str">
        <f t="shared" si="20"/>
        <v>Tidak ada</v>
      </c>
    </row>
    <row r="8" spans="1:34" ht="39.5" x14ac:dyDescent="0.35">
      <c r="A8" s="1">
        <v>64</v>
      </c>
      <c r="B8" s="1" t="s">
        <v>35</v>
      </c>
      <c r="C8" s="1" t="str">
        <f t="shared" si="0"/>
        <v>Ya</v>
      </c>
      <c r="D8" s="1" t="str">
        <f t="shared" si="1"/>
        <v>Tidak</v>
      </c>
      <c r="E8" s="1" t="str">
        <f t="shared" si="2"/>
        <v>Tidak</v>
      </c>
      <c r="F8" s="1" t="str">
        <f t="shared" si="3"/>
        <v>Tidak</v>
      </c>
      <c r="G8" s="1" t="str">
        <f t="shared" si="4"/>
        <v>Tidak</v>
      </c>
      <c r="H8" s="1" t="str">
        <f t="shared" si="5"/>
        <v>Tidak</v>
      </c>
      <c r="I8" s="1" t="str">
        <f t="shared" si="6"/>
        <v>Tidak</v>
      </c>
      <c r="J8" s="1" t="str">
        <f t="shared" si="7"/>
        <v>Tidak</v>
      </c>
      <c r="K8" s="1" t="str">
        <f t="shared" si="8"/>
        <v>Ya</v>
      </c>
      <c r="L8" s="1" t="str">
        <f t="shared" si="9"/>
        <v>Tidak</v>
      </c>
      <c r="M8" s="1" t="str">
        <f t="shared" si="10"/>
        <v>Tidak</v>
      </c>
      <c r="N8" s="1" t="str">
        <f t="shared" si="11"/>
        <v>Tidak</v>
      </c>
      <c r="O8" s="1" t="str">
        <f t="shared" si="12"/>
        <v>Tidak</v>
      </c>
      <c r="P8" s="1" t="str">
        <f t="shared" si="13"/>
        <v>Tidak</v>
      </c>
      <c r="Q8" s="1" t="str">
        <f t="shared" si="14"/>
        <v>Tidak</v>
      </c>
      <c r="R8" s="1" t="str">
        <f t="shared" si="15"/>
        <v>Tidak</v>
      </c>
      <c r="S8" s="9" t="s">
        <v>36</v>
      </c>
      <c r="T8" s="1" t="str">
        <f t="shared" si="16"/>
        <v>IIIB</v>
      </c>
      <c r="U8" s="1" t="str">
        <f t="shared" si="21"/>
        <v>Metastasis pada KGB aksila ipsilateral</v>
      </c>
      <c r="V8" s="1" t="s">
        <v>37</v>
      </c>
      <c r="W8" s="2" t="s">
        <v>239</v>
      </c>
      <c r="X8" s="1" t="s">
        <v>17</v>
      </c>
      <c r="Y8" s="1" t="str">
        <f t="shared" si="17"/>
        <v>&gt;5cm</v>
      </c>
      <c r="Z8" s="1" t="s">
        <v>11</v>
      </c>
      <c r="AA8" s="9">
        <v>44893</v>
      </c>
      <c r="AB8" s="9">
        <v>44998</v>
      </c>
      <c r="AC8" s="1">
        <f t="shared" si="18"/>
        <v>106</v>
      </c>
      <c r="AD8" s="1">
        <v>25</v>
      </c>
      <c r="AE8" s="1" t="s">
        <v>38</v>
      </c>
      <c r="AF8" s="1" t="str">
        <f t="shared" si="19"/>
        <v>Tidak ada</v>
      </c>
      <c r="AG8" s="1" t="s">
        <v>39</v>
      </c>
      <c r="AH8" s="1" t="str">
        <f t="shared" si="20"/>
        <v>Tidak ada</v>
      </c>
    </row>
    <row r="9" spans="1:34" ht="39.5" x14ac:dyDescent="0.35">
      <c r="A9" s="1">
        <v>38</v>
      </c>
      <c r="B9" s="1"/>
      <c r="C9" s="1" t="str">
        <f t="shared" si="0"/>
        <v>Tidak</v>
      </c>
      <c r="D9" s="1" t="str">
        <f t="shared" si="1"/>
        <v>Tidak</v>
      </c>
      <c r="E9" s="1" t="str">
        <f t="shared" si="2"/>
        <v>Tidak</v>
      </c>
      <c r="F9" s="1" t="str">
        <f t="shared" si="3"/>
        <v>Tidak</v>
      </c>
      <c r="G9" s="1" t="str">
        <f t="shared" si="4"/>
        <v>Tidak</v>
      </c>
      <c r="H9" s="1" t="str">
        <f t="shared" si="5"/>
        <v>Tidak</v>
      </c>
      <c r="I9" s="1" t="str">
        <f t="shared" si="6"/>
        <v>Tidak</v>
      </c>
      <c r="J9" s="1" t="str">
        <f t="shared" si="7"/>
        <v>Tidak</v>
      </c>
      <c r="K9" s="1" t="str">
        <f t="shared" si="8"/>
        <v>Tidak</v>
      </c>
      <c r="L9" s="1" t="str">
        <f t="shared" si="9"/>
        <v>Tidak</v>
      </c>
      <c r="M9" s="1" t="str">
        <f t="shared" si="10"/>
        <v>Tidak</v>
      </c>
      <c r="N9" s="1" t="str">
        <f t="shared" si="11"/>
        <v>Tidak</v>
      </c>
      <c r="O9" s="1" t="str">
        <f t="shared" si="12"/>
        <v>Tidak</v>
      </c>
      <c r="P9" s="1" t="str">
        <f t="shared" si="13"/>
        <v>Tidak</v>
      </c>
      <c r="Q9" s="1" t="str">
        <f t="shared" si="14"/>
        <v>Tidak</v>
      </c>
      <c r="R9" s="1" t="str">
        <f t="shared" si="15"/>
        <v>Tidak</v>
      </c>
      <c r="S9" s="11" t="s">
        <v>28</v>
      </c>
      <c r="T9" s="1" t="str">
        <f t="shared" si="16"/>
        <v>IIIB</v>
      </c>
      <c r="U9" s="1" t="str">
        <f t="shared" si="21"/>
        <v>Metastasis pada KGB aksila ipsilateral</v>
      </c>
      <c r="V9" s="1" t="s">
        <v>33</v>
      </c>
      <c r="W9" s="2" t="s">
        <v>221</v>
      </c>
      <c r="X9" s="1" t="s">
        <v>17</v>
      </c>
      <c r="Y9" s="1" t="str">
        <f t="shared" si="17"/>
        <v>&gt;5cm</v>
      </c>
      <c r="Z9" s="1" t="s">
        <v>11</v>
      </c>
      <c r="AA9" s="9">
        <v>44851</v>
      </c>
      <c r="AB9" s="9">
        <v>44935</v>
      </c>
      <c r="AC9" s="1">
        <f t="shared" si="18"/>
        <v>85</v>
      </c>
      <c r="AD9" s="1">
        <v>30</v>
      </c>
      <c r="AE9" s="12" t="s">
        <v>40</v>
      </c>
      <c r="AF9" s="1" t="str">
        <f t="shared" si="19"/>
        <v>Tidak ada</v>
      </c>
      <c r="AG9" s="1" t="s">
        <v>41</v>
      </c>
      <c r="AH9" s="1" t="str">
        <f t="shared" si="20"/>
        <v>Tidak ada</v>
      </c>
    </row>
    <row r="10" spans="1:34" ht="26.5" x14ac:dyDescent="0.35">
      <c r="A10" s="1">
        <v>35</v>
      </c>
      <c r="B10" s="1" t="s">
        <v>42</v>
      </c>
      <c r="C10" s="1" t="str">
        <f t="shared" si="0"/>
        <v>Tidak</v>
      </c>
      <c r="D10" s="1" t="str">
        <f t="shared" si="1"/>
        <v>Tidak</v>
      </c>
      <c r="E10" s="1" t="str">
        <f t="shared" si="2"/>
        <v>Ya</v>
      </c>
      <c r="F10" s="1" t="str">
        <f t="shared" si="3"/>
        <v>Tidak</v>
      </c>
      <c r="G10" s="1" t="str">
        <f t="shared" si="4"/>
        <v>Tidak</v>
      </c>
      <c r="H10" s="1" t="str">
        <f t="shared" si="5"/>
        <v>Tidak</v>
      </c>
      <c r="I10" s="1" t="str">
        <f t="shared" si="6"/>
        <v>Tidak</v>
      </c>
      <c r="J10" s="1" t="str">
        <f t="shared" si="7"/>
        <v>Tidak</v>
      </c>
      <c r="K10" s="1" t="str">
        <f t="shared" si="8"/>
        <v>Tidak</v>
      </c>
      <c r="L10" s="1" t="str">
        <f t="shared" si="9"/>
        <v>Tidak</v>
      </c>
      <c r="M10" s="1" t="str">
        <f t="shared" si="10"/>
        <v>Tidak</v>
      </c>
      <c r="N10" s="1" t="str">
        <f t="shared" si="11"/>
        <v>Tidak</v>
      </c>
      <c r="O10" s="1" t="str">
        <f t="shared" si="12"/>
        <v>Tidak</v>
      </c>
      <c r="P10" s="1" t="str">
        <f t="shared" si="13"/>
        <v>Tidak</v>
      </c>
      <c r="Q10" s="1" t="str">
        <f t="shared" si="14"/>
        <v>Ya</v>
      </c>
      <c r="R10" s="1" t="str">
        <f t="shared" si="15"/>
        <v>Ya</v>
      </c>
      <c r="S10" s="9" t="s">
        <v>43</v>
      </c>
      <c r="T10" s="1" t="str">
        <f t="shared" si="16"/>
        <v>IIIB</v>
      </c>
      <c r="U10" s="1" t="str">
        <f t="shared" si="21"/>
        <v>Metastasis pada KGB aksila ipsilateral</v>
      </c>
      <c r="V10" s="1" t="s">
        <v>44</v>
      </c>
      <c r="W10" s="2" t="s">
        <v>220</v>
      </c>
      <c r="X10" s="1" t="s">
        <v>17</v>
      </c>
      <c r="Y10" s="1" t="str">
        <f t="shared" si="17"/>
        <v>&gt;5cm</v>
      </c>
      <c r="Z10" s="1" t="s">
        <v>11</v>
      </c>
      <c r="AA10" s="9">
        <v>45096</v>
      </c>
      <c r="AB10" s="9">
        <v>45204</v>
      </c>
      <c r="AC10" s="1">
        <f t="shared" si="18"/>
        <v>109</v>
      </c>
      <c r="AD10" s="1">
        <v>25</v>
      </c>
      <c r="AE10" s="1" t="s">
        <v>45</v>
      </c>
      <c r="AF10" s="1" t="str">
        <f t="shared" si="19"/>
        <v>Tidak ada</v>
      </c>
      <c r="AG10" s="1" t="s">
        <v>46</v>
      </c>
      <c r="AH10" s="1" t="str">
        <f t="shared" si="20"/>
        <v>Ada</v>
      </c>
    </row>
    <row r="11" spans="1:34" ht="39.5" x14ac:dyDescent="0.35">
      <c r="A11" s="1">
        <v>35</v>
      </c>
      <c r="B11" s="1"/>
      <c r="C11" s="1" t="str">
        <f t="shared" si="0"/>
        <v>Tidak</v>
      </c>
      <c r="D11" s="1" t="str">
        <f t="shared" si="1"/>
        <v>Tidak</v>
      </c>
      <c r="E11" s="1" t="str">
        <f t="shared" si="2"/>
        <v>Tidak</v>
      </c>
      <c r="F11" s="1" t="str">
        <f t="shared" si="3"/>
        <v>Tidak</v>
      </c>
      <c r="G11" s="1" t="str">
        <f t="shared" si="4"/>
        <v>Tidak</v>
      </c>
      <c r="H11" s="1" t="str">
        <f t="shared" si="5"/>
        <v>Tidak</v>
      </c>
      <c r="I11" s="1" t="str">
        <f t="shared" si="6"/>
        <v>Tidak</v>
      </c>
      <c r="J11" s="1" t="str">
        <f t="shared" si="7"/>
        <v>Tidak</v>
      </c>
      <c r="K11" s="1" t="str">
        <f t="shared" si="8"/>
        <v>Tidak</v>
      </c>
      <c r="L11" s="1" t="str">
        <f t="shared" si="9"/>
        <v>Tidak</v>
      </c>
      <c r="M11" s="1" t="str">
        <f t="shared" si="10"/>
        <v>Tidak</v>
      </c>
      <c r="N11" s="1" t="str">
        <f t="shared" si="11"/>
        <v>Tidak</v>
      </c>
      <c r="O11" s="1" t="str">
        <f t="shared" si="12"/>
        <v>Tidak</v>
      </c>
      <c r="P11" s="1" t="str">
        <f t="shared" si="13"/>
        <v>Tidak</v>
      </c>
      <c r="Q11" s="1" t="str">
        <f t="shared" si="14"/>
        <v>Tidak</v>
      </c>
      <c r="R11" s="1" t="str">
        <f t="shared" si="15"/>
        <v>Tidak</v>
      </c>
      <c r="S11" s="9" t="s">
        <v>47</v>
      </c>
      <c r="T11" s="1" t="str">
        <f t="shared" si="16"/>
        <v>IIIB</v>
      </c>
      <c r="U11" s="1" t="str">
        <f t="shared" si="21"/>
        <v>4-9 KGB aksila</v>
      </c>
      <c r="V11" s="1" t="s">
        <v>48</v>
      </c>
      <c r="W11" s="2" t="s">
        <v>238</v>
      </c>
      <c r="X11" s="1" t="s">
        <v>17</v>
      </c>
      <c r="Y11" s="1" t="str">
        <f t="shared" si="17"/>
        <v>&gt;5cm</v>
      </c>
      <c r="Z11" s="1" t="s">
        <v>11</v>
      </c>
      <c r="AA11" s="9">
        <v>44971</v>
      </c>
      <c r="AB11" s="9">
        <v>45140</v>
      </c>
      <c r="AC11" s="1">
        <f t="shared" si="18"/>
        <v>170</v>
      </c>
      <c r="AD11" s="1">
        <v>25</v>
      </c>
      <c r="AE11" s="1" t="s">
        <v>49</v>
      </c>
      <c r="AF11" s="1" t="str">
        <f t="shared" si="19"/>
        <v>Tidak ada</v>
      </c>
      <c r="AG11" s="1" t="s">
        <v>50</v>
      </c>
      <c r="AH11" s="1" t="str">
        <f t="shared" si="20"/>
        <v>Tidak ada</v>
      </c>
    </row>
    <row r="12" spans="1:34" ht="39.5" x14ac:dyDescent="0.35">
      <c r="A12" s="1">
        <v>40</v>
      </c>
      <c r="B12" s="1" t="s">
        <v>51</v>
      </c>
      <c r="C12" s="1" t="str">
        <f t="shared" si="0"/>
        <v>Tidak</v>
      </c>
      <c r="D12" s="1" t="str">
        <f t="shared" si="1"/>
        <v>Tidak</v>
      </c>
      <c r="E12" s="1" t="str">
        <f t="shared" si="2"/>
        <v>Ya</v>
      </c>
      <c r="F12" s="1" t="str">
        <f t="shared" si="3"/>
        <v>Tidak</v>
      </c>
      <c r="G12" s="1" t="str">
        <f t="shared" si="4"/>
        <v>Tidak</v>
      </c>
      <c r="H12" s="1" t="str">
        <f t="shared" si="5"/>
        <v>Ya</v>
      </c>
      <c r="I12" s="1" t="str">
        <f t="shared" si="6"/>
        <v>Tidak</v>
      </c>
      <c r="J12" s="1" t="str">
        <f t="shared" si="7"/>
        <v>Tidak</v>
      </c>
      <c r="K12" s="1" t="str">
        <f t="shared" si="8"/>
        <v>Tidak</v>
      </c>
      <c r="L12" s="1" t="str">
        <f t="shared" si="9"/>
        <v>Tidak</v>
      </c>
      <c r="M12" s="1" t="str">
        <f t="shared" si="10"/>
        <v>Tidak</v>
      </c>
      <c r="N12" s="1" t="str">
        <f t="shared" si="11"/>
        <v>Tidak</v>
      </c>
      <c r="O12" s="1" t="str">
        <f t="shared" si="12"/>
        <v>Tidak</v>
      </c>
      <c r="P12" s="1" t="str">
        <f t="shared" si="13"/>
        <v>Tidak</v>
      </c>
      <c r="Q12" s="1" t="str">
        <f t="shared" si="14"/>
        <v>Tidak</v>
      </c>
      <c r="R12" s="1" t="str">
        <f t="shared" si="15"/>
        <v>Tidak</v>
      </c>
      <c r="S12" s="9" t="s">
        <v>52</v>
      </c>
      <c r="T12" s="1" t="str">
        <f t="shared" si="16"/>
        <v>IIIB</v>
      </c>
      <c r="U12" s="1" t="str">
        <f t="shared" si="21"/>
        <v>Metastasis pada KGB aksila ipsilateral</v>
      </c>
      <c r="V12" s="1" t="s">
        <v>53</v>
      </c>
      <c r="W12" s="2" t="s">
        <v>222</v>
      </c>
      <c r="X12" s="1" t="s">
        <v>17</v>
      </c>
      <c r="Y12" s="1" t="str">
        <f t="shared" si="17"/>
        <v>&gt;5cm</v>
      </c>
      <c r="Z12" s="1" t="s">
        <v>11</v>
      </c>
      <c r="AA12" s="9">
        <v>44615</v>
      </c>
      <c r="AB12" s="9">
        <v>44792</v>
      </c>
      <c r="AC12" s="1">
        <f t="shared" si="18"/>
        <v>178</v>
      </c>
      <c r="AD12" s="1">
        <v>25</v>
      </c>
      <c r="AE12" s="1" t="s">
        <v>54</v>
      </c>
      <c r="AF12" s="1" t="str">
        <f t="shared" si="19"/>
        <v>Tidak ada</v>
      </c>
      <c r="AG12" s="1" t="s">
        <v>55</v>
      </c>
      <c r="AH12" s="1" t="str">
        <f t="shared" si="20"/>
        <v>Tidak ada</v>
      </c>
    </row>
    <row r="13" spans="1:34" ht="39.5" x14ac:dyDescent="0.35">
      <c r="A13" s="1">
        <v>63</v>
      </c>
      <c r="B13" s="1" t="s">
        <v>32</v>
      </c>
      <c r="C13" s="1" t="str">
        <f t="shared" si="0"/>
        <v>Ya</v>
      </c>
      <c r="D13" s="1" t="str">
        <f t="shared" si="1"/>
        <v>Tidak</v>
      </c>
      <c r="E13" s="1" t="str">
        <f t="shared" si="2"/>
        <v>Tidak</v>
      </c>
      <c r="F13" s="1" t="str">
        <f t="shared" si="3"/>
        <v>Tidak</v>
      </c>
      <c r="G13" s="1" t="str">
        <f t="shared" si="4"/>
        <v>Tidak</v>
      </c>
      <c r="H13" s="1" t="str">
        <f t="shared" si="5"/>
        <v>Tidak</v>
      </c>
      <c r="I13" s="1" t="str">
        <f t="shared" si="6"/>
        <v>Tidak</v>
      </c>
      <c r="J13" s="1" t="str">
        <f t="shared" si="7"/>
        <v>Tidak</v>
      </c>
      <c r="K13" s="1" t="str">
        <f t="shared" si="8"/>
        <v>Tidak</v>
      </c>
      <c r="L13" s="1" t="str">
        <f t="shared" si="9"/>
        <v>Tidak</v>
      </c>
      <c r="M13" s="1" t="str">
        <f t="shared" si="10"/>
        <v>Tidak</v>
      </c>
      <c r="N13" s="1" t="str">
        <f t="shared" si="11"/>
        <v>Tidak</v>
      </c>
      <c r="O13" s="1" t="str">
        <f t="shared" si="12"/>
        <v>Tidak</v>
      </c>
      <c r="P13" s="1" t="str">
        <f t="shared" si="13"/>
        <v>Tidak</v>
      </c>
      <c r="Q13" s="1" t="str">
        <f t="shared" si="14"/>
        <v>Tidak</v>
      </c>
      <c r="R13" s="1" t="str">
        <f t="shared" si="15"/>
        <v>Tidak</v>
      </c>
      <c r="S13" s="9" t="s">
        <v>56</v>
      </c>
      <c r="T13" s="1" t="str">
        <f t="shared" si="16"/>
        <v>IA</v>
      </c>
      <c r="U13" s="1" t="str">
        <f t="shared" si="21"/>
        <v>KGB Regional tak dapat dinilai</v>
      </c>
      <c r="V13" s="1" t="s">
        <v>57</v>
      </c>
      <c r="W13" s="2" t="s">
        <v>218</v>
      </c>
      <c r="X13" s="1" t="s">
        <v>58</v>
      </c>
      <c r="Y13" s="1" t="str">
        <f t="shared" si="17"/>
        <v>&lt;2 cm - 2 cm</v>
      </c>
      <c r="Z13" s="1" t="s">
        <v>11</v>
      </c>
      <c r="AA13" s="9">
        <v>45100</v>
      </c>
      <c r="AB13" s="9">
        <v>45251</v>
      </c>
      <c r="AC13" s="1">
        <f t="shared" si="18"/>
        <v>152</v>
      </c>
      <c r="AD13" s="1">
        <v>30</v>
      </c>
      <c r="AE13" s="1"/>
      <c r="AF13" s="1" t="str">
        <f t="shared" si="19"/>
        <v>Tidak ada</v>
      </c>
      <c r="AG13" s="1" t="s">
        <v>59</v>
      </c>
      <c r="AH13" s="1" t="str">
        <f t="shared" si="20"/>
        <v>Tidak ada</v>
      </c>
    </row>
    <row r="14" spans="1:34" ht="39" x14ac:dyDescent="0.35">
      <c r="A14" s="1">
        <v>51</v>
      </c>
      <c r="B14" s="1"/>
      <c r="C14" s="1" t="str">
        <f t="shared" si="0"/>
        <v>Tidak</v>
      </c>
      <c r="D14" s="1" t="str">
        <f t="shared" si="1"/>
        <v>Tidak</v>
      </c>
      <c r="E14" s="1" t="str">
        <f t="shared" si="2"/>
        <v>Tidak</v>
      </c>
      <c r="F14" s="1" t="str">
        <f t="shared" si="3"/>
        <v>Tidak</v>
      </c>
      <c r="G14" s="1" t="str">
        <f t="shared" si="4"/>
        <v>Tidak</v>
      </c>
      <c r="H14" s="1" t="str">
        <f t="shared" si="5"/>
        <v>Tidak</v>
      </c>
      <c r="I14" s="1" t="str">
        <f t="shared" si="6"/>
        <v>Tidak</v>
      </c>
      <c r="J14" s="1" t="str">
        <f t="shared" si="7"/>
        <v>Tidak</v>
      </c>
      <c r="K14" s="1" t="str">
        <f t="shared" si="8"/>
        <v>Tidak</v>
      </c>
      <c r="L14" s="1" t="str">
        <f t="shared" si="9"/>
        <v>Tidak</v>
      </c>
      <c r="M14" s="1" t="str">
        <f t="shared" si="10"/>
        <v>Tidak</v>
      </c>
      <c r="N14" s="1" t="str">
        <f t="shared" si="11"/>
        <v>Tidak</v>
      </c>
      <c r="O14" s="1" t="str">
        <f t="shared" si="12"/>
        <v>Tidak</v>
      </c>
      <c r="P14" s="1" t="str">
        <f t="shared" si="13"/>
        <v>Tidak</v>
      </c>
      <c r="Q14" s="1" t="str">
        <f t="shared" si="14"/>
        <v>Tidak</v>
      </c>
      <c r="R14" s="1" t="str">
        <f t="shared" si="15"/>
        <v>Tidak</v>
      </c>
      <c r="S14" s="9" t="s">
        <v>52</v>
      </c>
      <c r="T14" s="1" t="str">
        <f t="shared" si="16"/>
        <v>IIIB</v>
      </c>
      <c r="U14" s="1" t="str">
        <f t="shared" si="21"/>
        <v>Metastasis pada KGB aksila ipsilateral</v>
      </c>
      <c r="V14" s="1" t="s">
        <v>53</v>
      </c>
      <c r="W14" s="3" t="s">
        <v>218</v>
      </c>
      <c r="X14" s="4" t="s">
        <v>17</v>
      </c>
      <c r="Y14" s="1" t="str">
        <f t="shared" si="17"/>
        <v>&gt;5cm</v>
      </c>
      <c r="Z14" s="1" t="s">
        <v>11</v>
      </c>
      <c r="AA14" s="9">
        <v>44866</v>
      </c>
      <c r="AB14" s="9">
        <v>45075</v>
      </c>
      <c r="AC14" s="1">
        <f t="shared" si="18"/>
        <v>210</v>
      </c>
      <c r="AD14" s="1">
        <v>25</v>
      </c>
      <c r="AE14" s="1" t="s">
        <v>60</v>
      </c>
      <c r="AF14" s="1" t="str">
        <f t="shared" si="19"/>
        <v>Tidak ada</v>
      </c>
      <c r="AG14" s="1" t="s">
        <v>61</v>
      </c>
      <c r="AH14" s="1" t="str">
        <f t="shared" si="20"/>
        <v>Tidak ada</v>
      </c>
    </row>
    <row r="15" spans="1:34" ht="26.5" x14ac:dyDescent="0.35">
      <c r="A15" s="1">
        <v>52</v>
      </c>
      <c r="B15" s="1"/>
      <c r="C15" s="1" t="str">
        <f t="shared" si="0"/>
        <v>Tidak</v>
      </c>
      <c r="D15" s="1" t="str">
        <f t="shared" si="1"/>
        <v>Tidak</v>
      </c>
      <c r="E15" s="1" t="str">
        <f t="shared" si="2"/>
        <v>Tidak</v>
      </c>
      <c r="F15" s="1" t="str">
        <f t="shared" si="3"/>
        <v>Tidak</v>
      </c>
      <c r="G15" s="1" t="str">
        <f t="shared" si="4"/>
        <v>Tidak</v>
      </c>
      <c r="H15" s="1" t="str">
        <f t="shared" si="5"/>
        <v>Tidak</v>
      </c>
      <c r="I15" s="1" t="str">
        <f t="shared" si="6"/>
        <v>Tidak</v>
      </c>
      <c r="J15" s="1" t="str">
        <f t="shared" si="7"/>
        <v>Tidak</v>
      </c>
      <c r="K15" s="1" t="str">
        <f t="shared" si="8"/>
        <v>Tidak</v>
      </c>
      <c r="L15" s="1" t="str">
        <f t="shared" si="9"/>
        <v>Tidak</v>
      </c>
      <c r="M15" s="1" t="str">
        <f t="shared" si="10"/>
        <v>Tidak</v>
      </c>
      <c r="N15" s="1" t="str">
        <f t="shared" si="11"/>
        <v>Tidak</v>
      </c>
      <c r="O15" s="1" t="str">
        <f t="shared" si="12"/>
        <v>Tidak</v>
      </c>
      <c r="P15" s="1" t="str">
        <f t="shared" si="13"/>
        <v>Tidak</v>
      </c>
      <c r="Q15" s="1" t="str">
        <f t="shared" si="14"/>
        <v>Tidak</v>
      </c>
      <c r="R15" s="1" t="str">
        <f t="shared" si="15"/>
        <v>Tidak</v>
      </c>
      <c r="S15" s="9" t="s">
        <v>52</v>
      </c>
      <c r="T15" s="1" t="str">
        <f t="shared" si="16"/>
        <v>IIIB</v>
      </c>
      <c r="U15" s="1" t="str">
        <f t="shared" si="21"/>
        <v>Metastasis pada KGB aksila ipsilateral</v>
      </c>
      <c r="V15" s="1" t="s">
        <v>53</v>
      </c>
      <c r="W15" s="2" t="s">
        <v>220</v>
      </c>
      <c r="X15" s="1" t="s">
        <v>17</v>
      </c>
      <c r="Y15" s="1" t="str">
        <f t="shared" si="17"/>
        <v>&gt;5cm</v>
      </c>
      <c r="Z15" s="1" t="s">
        <v>11</v>
      </c>
      <c r="AA15" s="9">
        <v>44768</v>
      </c>
      <c r="AB15" s="9">
        <v>44880</v>
      </c>
      <c r="AC15" s="1">
        <f t="shared" si="18"/>
        <v>113</v>
      </c>
      <c r="AD15" s="1">
        <v>25</v>
      </c>
      <c r="AE15" s="1" t="s">
        <v>62</v>
      </c>
      <c r="AF15" s="1" t="str">
        <f t="shared" si="19"/>
        <v>Tidak ada</v>
      </c>
      <c r="AG15" s="1" t="s">
        <v>63</v>
      </c>
      <c r="AH15" s="1" t="str">
        <f t="shared" si="20"/>
        <v>Tidak ada</v>
      </c>
    </row>
    <row r="16" spans="1:34" ht="39.5" x14ac:dyDescent="0.35">
      <c r="A16" s="1">
        <v>51</v>
      </c>
      <c r="B16" s="1"/>
      <c r="C16" s="1" t="str">
        <f t="shared" si="0"/>
        <v>Tidak</v>
      </c>
      <c r="D16" s="1" t="str">
        <f t="shared" si="1"/>
        <v>Tidak</v>
      </c>
      <c r="E16" s="1" t="str">
        <f t="shared" si="2"/>
        <v>Tidak</v>
      </c>
      <c r="F16" s="1" t="str">
        <f t="shared" si="3"/>
        <v>Tidak</v>
      </c>
      <c r="G16" s="1" t="str">
        <f t="shared" si="4"/>
        <v>Tidak</v>
      </c>
      <c r="H16" s="1" t="str">
        <f t="shared" si="5"/>
        <v>Tidak</v>
      </c>
      <c r="I16" s="1" t="str">
        <f t="shared" si="6"/>
        <v>Tidak</v>
      </c>
      <c r="J16" s="1" t="str">
        <f t="shared" si="7"/>
        <v>Tidak</v>
      </c>
      <c r="K16" s="1" t="str">
        <f t="shared" si="8"/>
        <v>Tidak</v>
      </c>
      <c r="L16" s="1" t="str">
        <f t="shared" si="9"/>
        <v>Tidak</v>
      </c>
      <c r="M16" s="1" t="str">
        <f t="shared" si="10"/>
        <v>Tidak</v>
      </c>
      <c r="N16" s="1" t="str">
        <f t="shared" si="11"/>
        <v>Tidak</v>
      </c>
      <c r="O16" s="1" t="str">
        <f t="shared" si="12"/>
        <v>Tidak</v>
      </c>
      <c r="P16" s="1" t="str">
        <f t="shared" si="13"/>
        <v>Tidak</v>
      </c>
      <c r="Q16" s="1" t="str">
        <f t="shared" si="14"/>
        <v>Tidak</v>
      </c>
      <c r="R16" s="1" t="str">
        <f t="shared" si="15"/>
        <v>Tidak</v>
      </c>
      <c r="S16" s="9" t="s">
        <v>64</v>
      </c>
      <c r="T16" s="1" t="str">
        <f t="shared" si="16"/>
        <v>IIB</v>
      </c>
      <c r="U16" s="1" t="str">
        <f t="shared" si="21"/>
        <v>Tidak ada metastasis KGB Regional</v>
      </c>
      <c r="V16" s="1" t="s">
        <v>65</v>
      </c>
      <c r="W16" s="2" t="s">
        <v>223</v>
      </c>
      <c r="X16" s="1" t="s">
        <v>17</v>
      </c>
      <c r="Y16" s="1" t="str">
        <f t="shared" si="17"/>
        <v>&gt;5cm</v>
      </c>
      <c r="Z16" s="1" t="s">
        <v>11</v>
      </c>
      <c r="AA16" s="9">
        <v>44736</v>
      </c>
      <c r="AB16" s="11">
        <v>44847</v>
      </c>
      <c r="AC16" s="1">
        <f t="shared" si="18"/>
        <v>112</v>
      </c>
      <c r="AD16" s="1">
        <v>25</v>
      </c>
      <c r="AE16" s="1" t="s">
        <v>66</v>
      </c>
      <c r="AF16" s="1" t="str">
        <f t="shared" si="19"/>
        <v>Tidak ada</v>
      </c>
      <c r="AG16" s="1" t="s">
        <v>67</v>
      </c>
      <c r="AH16" s="1" t="str">
        <f t="shared" si="20"/>
        <v>Tidak ada</v>
      </c>
    </row>
    <row r="17" spans="1:34" ht="39.5" x14ac:dyDescent="0.35">
      <c r="A17" s="1">
        <v>54</v>
      </c>
      <c r="B17" s="1"/>
      <c r="C17" s="1" t="str">
        <f t="shared" si="0"/>
        <v>Tidak</v>
      </c>
      <c r="D17" s="1" t="str">
        <f t="shared" si="1"/>
        <v>Tidak</v>
      </c>
      <c r="E17" s="1" t="str">
        <f t="shared" si="2"/>
        <v>Tidak</v>
      </c>
      <c r="F17" s="1" t="str">
        <f t="shared" si="3"/>
        <v>Tidak</v>
      </c>
      <c r="G17" s="1" t="str">
        <f t="shared" si="4"/>
        <v>Tidak</v>
      </c>
      <c r="H17" s="1" t="str">
        <f t="shared" si="5"/>
        <v>Tidak</v>
      </c>
      <c r="I17" s="1" t="str">
        <f t="shared" si="6"/>
        <v>Tidak</v>
      </c>
      <c r="J17" s="1" t="str">
        <f t="shared" si="7"/>
        <v>Tidak</v>
      </c>
      <c r="K17" s="1" t="str">
        <f t="shared" si="8"/>
        <v>Tidak</v>
      </c>
      <c r="L17" s="1" t="str">
        <f t="shared" si="9"/>
        <v>Tidak</v>
      </c>
      <c r="M17" s="1" t="str">
        <f t="shared" si="10"/>
        <v>Tidak</v>
      </c>
      <c r="N17" s="1" t="str">
        <f t="shared" si="11"/>
        <v>Tidak</v>
      </c>
      <c r="O17" s="1" t="str">
        <f t="shared" si="12"/>
        <v>Tidak</v>
      </c>
      <c r="P17" s="1" t="str">
        <f t="shared" si="13"/>
        <v>Tidak</v>
      </c>
      <c r="Q17" s="1" t="str">
        <f t="shared" si="14"/>
        <v>Tidak</v>
      </c>
      <c r="R17" s="1" t="str">
        <f t="shared" si="15"/>
        <v>Tidak</v>
      </c>
      <c r="S17" s="9" t="s">
        <v>15</v>
      </c>
      <c r="T17" s="1" t="str">
        <f t="shared" si="16"/>
        <v>IIB</v>
      </c>
      <c r="U17" s="1" t="str">
        <f t="shared" si="21"/>
        <v>Metastasis pada KGB aksila ipsilateral</v>
      </c>
      <c r="V17" s="1" t="s">
        <v>68</v>
      </c>
      <c r="W17" s="2" t="s">
        <v>219</v>
      </c>
      <c r="X17" s="1" t="s">
        <v>10</v>
      </c>
      <c r="Y17" s="1" t="str">
        <f t="shared" si="17"/>
        <v>&gt;2 cm - &lt;5cm</v>
      </c>
      <c r="Z17" s="1" t="s">
        <v>11</v>
      </c>
      <c r="AA17" s="9">
        <v>44799</v>
      </c>
      <c r="AB17" s="9">
        <v>44951</v>
      </c>
      <c r="AC17" s="1">
        <f t="shared" si="18"/>
        <v>153</v>
      </c>
      <c r="AD17" s="1">
        <v>25</v>
      </c>
      <c r="AE17" s="1"/>
      <c r="AF17" s="1" t="str">
        <f t="shared" si="19"/>
        <v>Tidak ada</v>
      </c>
      <c r="AG17" s="1" t="s">
        <v>69</v>
      </c>
      <c r="AH17" s="1" t="str">
        <f t="shared" si="20"/>
        <v>Tidak ada</v>
      </c>
    </row>
    <row r="18" spans="1:34" ht="39.5" x14ac:dyDescent="0.35">
      <c r="A18" s="1">
        <v>59</v>
      </c>
      <c r="B18" s="1" t="s">
        <v>70</v>
      </c>
      <c r="C18" s="1" t="str">
        <f t="shared" si="0"/>
        <v>Tidak</v>
      </c>
      <c r="D18" s="1" t="str">
        <f t="shared" si="1"/>
        <v>Tidak</v>
      </c>
      <c r="E18" s="1" t="str">
        <f t="shared" si="2"/>
        <v>Tidak</v>
      </c>
      <c r="F18" s="1" t="str">
        <f t="shared" si="3"/>
        <v>Tidak</v>
      </c>
      <c r="G18" s="1" t="str">
        <f t="shared" si="4"/>
        <v>Tidak</v>
      </c>
      <c r="H18" s="1" t="str">
        <f t="shared" si="5"/>
        <v>Tidak</v>
      </c>
      <c r="I18" s="1" t="str">
        <f t="shared" si="6"/>
        <v>Tidak</v>
      </c>
      <c r="J18" s="1" t="str">
        <f t="shared" si="7"/>
        <v>Tidak</v>
      </c>
      <c r="K18" s="1" t="str">
        <f t="shared" si="8"/>
        <v>Tidak</v>
      </c>
      <c r="L18" s="1" t="str">
        <f t="shared" si="9"/>
        <v>Tidak</v>
      </c>
      <c r="M18" s="1" t="str">
        <f t="shared" si="10"/>
        <v>Tidak</v>
      </c>
      <c r="N18" s="1" t="str">
        <f t="shared" si="11"/>
        <v>Tidak</v>
      </c>
      <c r="O18" s="1" t="str">
        <f t="shared" si="12"/>
        <v>Tidak</v>
      </c>
      <c r="P18" s="1" t="str">
        <f t="shared" si="13"/>
        <v>Ya</v>
      </c>
      <c r="Q18" s="1" t="str">
        <f t="shared" si="14"/>
        <v>Tidak</v>
      </c>
      <c r="R18" s="1" t="str">
        <f t="shared" si="15"/>
        <v>Tidak</v>
      </c>
      <c r="S18" s="9" t="s">
        <v>71</v>
      </c>
      <c r="T18" s="1" t="str">
        <f t="shared" si="16"/>
        <v>IIIB</v>
      </c>
      <c r="U18" s="1" t="str">
        <f t="shared" si="21"/>
        <v>Metastasis pada KGB aksila ipsilateral</v>
      </c>
      <c r="V18" s="1" t="s">
        <v>72</v>
      </c>
      <c r="W18" s="2" t="s">
        <v>218</v>
      </c>
      <c r="X18" s="1" t="s">
        <v>22</v>
      </c>
      <c r="Y18" s="1" t="str">
        <f t="shared" si="17"/>
        <v>&gt;5 cm dengan eksistensi langsung ke dinding dada/kulit</v>
      </c>
      <c r="Z18" s="1" t="s">
        <v>11</v>
      </c>
      <c r="AA18" s="9">
        <v>44734</v>
      </c>
      <c r="AB18" s="9">
        <v>44883</v>
      </c>
      <c r="AC18" s="1">
        <f t="shared" si="18"/>
        <v>150</v>
      </c>
      <c r="AD18" s="1">
        <v>25</v>
      </c>
      <c r="AE18" s="1" t="s">
        <v>73</v>
      </c>
      <c r="AF18" s="1" t="str">
        <f t="shared" si="19"/>
        <v>Tidak ada</v>
      </c>
      <c r="AG18" s="1" t="s">
        <v>74</v>
      </c>
      <c r="AH18" s="1" t="str">
        <f t="shared" si="20"/>
        <v>Tidak ada</v>
      </c>
    </row>
    <row r="19" spans="1:34" ht="26.5" x14ac:dyDescent="0.35">
      <c r="A19" s="1">
        <v>46</v>
      </c>
      <c r="B19" s="1"/>
      <c r="C19" s="1" t="str">
        <f t="shared" si="0"/>
        <v>Tidak</v>
      </c>
      <c r="D19" s="1" t="str">
        <f t="shared" si="1"/>
        <v>Tidak</v>
      </c>
      <c r="E19" s="1" t="str">
        <f t="shared" si="2"/>
        <v>Tidak</v>
      </c>
      <c r="F19" s="1" t="str">
        <f t="shared" si="3"/>
        <v>Tidak</v>
      </c>
      <c r="G19" s="1" t="str">
        <f t="shared" si="4"/>
        <v>Tidak</v>
      </c>
      <c r="H19" s="1" t="str">
        <f t="shared" si="5"/>
        <v>Tidak</v>
      </c>
      <c r="I19" s="1" t="str">
        <f t="shared" si="6"/>
        <v>Tidak</v>
      </c>
      <c r="J19" s="1" t="str">
        <f t="shared" si="7"/>
        <v>Tidak</v>
      </c>
      <c r="K19" s="1" t="str">
        <f t="shared" si="8"/>
        <v>Tidak</v>
      </c>
      <c r="L19" s="1" t="str">
        <f t="shared" si="9"/>
        <v>Tidak</v>
      </c>
      <c r="M19" s="1" t="str">
        <f t="shared" si="10"/>
        <v>Tidak</v>
      </c>
      <c r="N19" s="1" t="str">
        <f t="shared" si="11"/>
        <v>Tidak</v>
      </c>
      <c r="O19" s="1" t="str">
        <f t="shared" si="12"/>
        <v>Tidak</v>
      </c>
      <c r="P19" s="1" t="str">
        <f t="shared" si="13"/>
        <v>Tidak</v>
      </c>
      <c r="Q19" s="1" t="str">
        <f t="shared" si="14"/>
        <v>Tidak</v>
      </c>
      <c r="R19" s="1" t="str">
        <f t="shared" si="15"/>
        <v>Tidak</v>
      </c>
      <c r="S19" s="9" t="s">
        <v>75</v>
      </c>
      <c r="T19" s="1" t="str">
        <f t="shared" si="16"/>
        <v>IIB</v>
      </c>
      <c r="U19" s="1" t="str">
        <f t="shared" si="21"/>
        <v>Tidak ada metastasis KGB Regional</v>
      </c>
      <c r="V19" s="1" t="s">
        <v>65</v>
      </c>
      <c r="W19" s="2" t="s">
        <v>76</v>
      </c>
      <c r="X19" s="1" t="s">
        <v>17</v>
      </c>
      <c r="Y19" s="1" t="str">
        <f t="shared" si="17"/>
        <v>&gt;5cm</v>
      </c>
      <c r="Z19" s="1" t="s">
        <v>11</v>
      </c>
      <c r="AA19" s="9">
        <v>44734</v>
      </c>
      <c r="AB19" s="9">
        <v>44743</v>
      </c>
      <c r="AC19" s="1">
        <f t="shared" si="18"/>
        <v>10</v>
      </c>
      <c r="AD19" s="1">
        <v>25</v>
      </c>
      <c r="AE19" s="1"/>
      <c r="AF19" s="1" t="str">
        <f t="shared" si="19"/>
        <v>Tidak ada</v>
      </c>
      <c r="AG19" s="1" t="s">
        <v>77</v>
      </c>
      <c r="AH19" s="1" t="str">
        <f t="shared" si="20"/>
        <v>Tidak ada</v>
      </c>
    </row>
    <row r="20" spans="1:34" ht="26.5" x14ac:dyDescent="0.35">
      <c r="A20" s="1">
        <v>58</v>
      </c>
      <c r="B20" s="1" t="s">
        <v>78</v>
      </c>
      <c r="C20" s="1" t="str">
        <f t="shared" si="0"/>
        <v>Tidak</v>
      </c>
      <c r="D20" s="1" t="str">
        <f t="shared" si="1"/>
        <v>Tidak</v>
      </c>
      <c r="E20" s="1" t="str">
        <f t="shared" si="2"/>
        <v>Tidak</v>
      </c>
      <c r="F20" s="1" t="str">
        <f t="shared" si="3"/>
        <v>Tidak</v>
      </c>
      <c r="G20" s="1" t="str">
        <f t="shared" si="4"/>
        <v>Tidak</v>
      </c>
      <c r="H20" s="1" t="str">
        <f t="shared" si="5"/>
        <v>Tidak</v>
      </c>
      <c r="I20" s="1" t="str">
        <f t="shared" si="6"/>
        <v>Tidak</v>
      </c>
      <c r="J20" s="1" t="str">
        <f t="shared" si="7"/>
        <v>Tidak</v>
      </c>
      <c r="K20" s="1" t="str">
        <f t="shared" si="8"/>
        <v>Ya</v>
      </c>
      <c r="L20" s="1" t="str">
        <f t="shared" si="9"/>
        <v>Tidak</v>
      </c>
      <c r="M20" s="1" t="str">
        <f t="shared" si="10"/>
        <v>Tidak</v>
      </c>
      <c r="N20" s="1" t="str">
        <f t="shared" si="11"/>
        <v>Tidak</v>
      </c>
      <c r="O20" s="1" t="str">
        <f t="shared" si="12"/>
        <v>Tidak</v>
      </c>
      <c r="P20" s="1" t="str">
        <f t="shared" si="13"/>
        <v>Tidak</v>
      </c>
      <c r="Q20" s="1" t="str">
        <f t="shared" si="14"/>
        <v>Tidak</v>
      </c>
      <c r="R20" s="1" t="str">
        <f t="shared" si="15"/>
        <v>Tidak</v>
      </c>
      <c r="S20" s="9" t="s">
        <v>15</v>
      </c>
      <c r="T20" s="1" t="str">
        <f t="shared" si="16"/>
        <v>IIB</v>
      </c>
      <c r="U20" s="1" t="str">
        <f t="shared" si="21"/>
        <v>Metastasis pada KGB aksila ipsilateral</v>
      </c>
      <c r="V20" s="1" t="s">
        <v>79</v>
      </c>
      <c r="W20" s="2" t="s">
        <v>76</v>
      </c>
      <c r="X20" s="1" t="s">
        <v>10</v>
      </c>
      <c r="Y20" s="1" t="str">
        <f t="shared" si="17"/>
        <v>&gt;2 cm - &lt;5cm</v>
      </c>
      <c r="Z20" s="1" t="s">
        <v>80</v>
      </c>
      <c r="AA20" s="9">
        <v>44722</v>
      </c>
      <c r="AB20" s="9">
        <v>44827</v>
      </c>
      <c r="AC20" s="1">
        <f t="shared" si="18"/>
        <v>106</v>
      </c>
      <c r="AD20" s="1">
        <v>25</v>
      </c>
      <c r="AE20" s="10" t="s">
        <v>81</v>
      </c>
      <c r="AF20" s="1" t="str">
        <f t="shared" si="19"/>
        <v>Tidak ada</v>
      </c>
      <c r="AG20" s="1" t="s">
        <v>82</v>
      </c>
      <c r="AH20" s="1" t="str">
        <f t="shared" si="20"/>
        <v>Tidak ada</v>
      </c>
    </row>
    <row r="21" spans="1:34" ht="26.5" x14ac:dyDescent="0.35">
      <c r="A21" s="1">
        <v>55</v>
      </c>
      <c r="B21" s="1" t="s">
        <v>32</v>
      </c>
      <c r="C21" s="1" t="str">
        <f t="shared" si="0"/>
        <v>Ya</v>
      </c>
      <c r="D21" s="1" t="str">
        <f t="shared" si="1"/>
        <v>Tidak</v>
      </c>
      <c r="E21" s="1" t="str">
        <f t="shared" si="2"/>
        <v>Tidak</v>
      </c>
      <c r="F21" s="1" t="str">
        <f t="shared" si="3"/>
        <v>Tidak</v>
      </c>
      <c r="G21" s="1" t="str">
        <f t="shared" si="4"/>
        <v>Tidak</v>
      </c>
      <c r="H21" s="1" t="str">
        <f t="shared" si="5"/>
        <v>Tidak</v>
      </c>
      <c r="I21" s="1" t="str">
        <f t="shared" si="6"/>
        <v>Tidak</v>
      </c>
      <c r="J21" s="1" t="str">
        <f t="shared" si="7"/>
        <v>Tidak</v>
      </c>
      <c r="K21" s="1" t="str">
        <f t="shared" si="8"/>
        <v>Tidak</v>
      </c>
      <c r="L21" s="1" t="str">
        <f t="shared" si="9"/>
        <v>Tidak</v>
      </c>
      <c r="M21" s="1" t="str">
        <f t="shared" si="10"/>
        <v>Tidak</v>
      </c>
      <c r="N21" s="1" t="str">
        <f t="shared" si="11"/>
        <v>Tidak</v>
      </c>
      <c r="O21" s="1" t="str">
        <f t="shared" si="12"/>
        <v>Tidak</v>
      </c>
      <c r="P21" s="1" t="str">
        <f t="shared" si="13"/>
        <v>Tidak</v>
      </c>
      <c r="Q21" s="1" t="str">
        <f t="shared" si="14"/>
        <v>Tidak</v>
      </c>
      <c r="R21" s="1" t="str">
        <f t="shared" si="15"/>
        <v>Tidak</v>
      </c>
      <c r="S21" s="9" t="s">
        <v>83</v>
      </c>
      <c r="T21" s="1" t="str">
        <f t="shared" si="16"/>
        <v>IIA</v>
      </c>
      <c r="U21" s="1" t="str">
        <f t="shared" si="21"/>
        <v>Tidak ada metastasis KGB Regional</v>
      </c>
      <c r="V21" s="1" t="s">
        <v>65</v>
      </c>
      <c r="W21" s="2" t="s">
        <v>76</v>
      </c>
      <c r="X21" s="1" t="s">
        <v>17</v>
      </c>
      <c r="Y21" s="1" t="str">
        <f t="shared" si="17"/>
        <v>&gt;5cm</v>
      </c>
      <c r="Z21" s="1" t="s">
        <v>84</v>
      </c>
      <c r="AA21" s="9">
        <v>44739</v>
      </c>
      <c r="AB21" s="9">
        <v>44844</v>
      </c>
      <c r="AC21" s="1">
        <f t="shared" si="18"/>
        <v>106</v>
      </c>
      <c r="AD21" s="1">
        <v>25</v>
      </c>
      <c r="AE21" s="1" t="s">
        <v>85</v>
      </c>
      <c r="AF21" s="1" t="str">
        <f t="shared" si="19"/>
        <v>Tidak ada</v>
      </c>
      <c r="AG21" s="1" t="s">
        <v>86</v>
      </c>
      <c r="AH21" s="1" t="str">
        <f t="shared" si="20"/>
        <v>Tidak ada</v>
      </c>
    </row>
    <row r="22" spans="1:34" ht="39.5" x14ac:dyDescent="0.35">
      <c r="A22" s="1">
        <v>63</v>
      </c>
      <c r="B22" s="1" t="s">
        <v>32</v>
      </c>
      <c r="C22" s="1" t="str">
        <f t="shared" si="0"/>
        <v>Ya</v>
      </c>
      <c r="D22" s="1" t="str">
        <f t="shared" si="1"/>
        <v>Tidak</v>
      </c>
      <c r="E22" s="1" t="str">
        <f t="shared" si="2"/>
        <v>Tidak</v>
      </c>
      <c r="F22" s="1" t="str">
        <f t="shared" si="3"/>
        <v>Tidak</v>
      </c>
      <c r="G22" s="1" t="str">
        <f t="shared" si="4"/>
        <v>Tidak</v>
      </c>
      <c r="H22" s="1" t="str">
        <f t="shared" si="5"/>
        <v>Tidak</v>
      </c>
      <c r="I22" s="1" t="str">
        <f t="shared" si="6"/>
        <v>Tidak</v>
      </c>
      <c r="J22" s="1" t="str">
        <f t="shared" si="7"/>
        <v>Tidak</v>
      </c>
      <c r="K22" s="1" t="str">
        <f t="shared" si="8"/>
        <v>Tidak</v>
      </c>
      <c r="L22" s="1" t="str">
        <f t="shared" si="9"/>
        <v>Tidak</v>
      </c>
      <c r="M22" s="1" t="str">
        <f t="shared" si="10"/>
        <v>Tidak</v>
      </c>
      <c r="N22" s="1" t="str">
        <f t="shared" si="11"/>
        <v>Tidak</v>
      </c>
      <c r="O22" s="1" t="str">
        <f t="shared" si="12"/>
        <v>Tidak</v>
      </c>
      <c r="P22" s="1" t="str">
        <f t="shared" si="13"/>
        <v>Tidak</v>
      </c>
      <c r="Q22" s="1" t="str">
        <f t="shared" si="14"/>
        <v>Tidak</v>
      </c>
      <c r="R22" s="1" t="str">
        <f t="shared" si="15"/>
        <v>Tidak</v>
      </c>
      <c r="S22" s="9" t="s">
        <v>75</v>
      </c>
      <c r="T22" s="1" t="str">
        <f t="shared" si="16"/>
        <v>IIB</v>
      </c>
      <c r="U22" s="1" t="str">
        <f t="shared" si="21"/>
        <v>Tidak ada metastasis KGB Regional</v>
      </c>
      <c r="V22" s="1" t="s">
        <v>65</v>
      </c>
      <c r="W22" s="2" t="s">
        <v>238</v>
      </c>
      <c r="X22" s="1" t="s">
        <v>17</v>
      </c>
      <c r="Y22" s="1" t="str">
        <f t="shared" si="17"/>
        <v>&gt;5cm</v>
      </c>
      <c r="Z22" s="1" t="s">
        <v>84</v>
      </c>
      <c r="AA22" s="9">
        <v>44673</v>
      </c>
      <c r="AB22" s="9">
        <v>44784</v>
      </c>
      <c r="AC22" s="1">
        <f t="shared" si="18"/>
        <v>112</v>
      </c>
      <c r="AD22" s="1">
        <v>30</v>
      </c>
      <c r="AE22" s="1" t="s">
        <v>87</v>
      </c>
      <c r="AF22" s="1" t="str">
        <f t="shared" si="19"/>
        <v>Tidak ada</v>
      </c>
      <c r="AG22" s="1" t="s">
        <v>88</v>
      </c>
      <c r="AH22" s="1" t="str">
        <f t="shared" si="20"/>
        <v>Tidak ada</v>
      </c>
    </row>
    <row r="23" spans="1:34" ht="26" x14ac:dyDescent="0.35">
      <c r="A23" s="1">
        <v>53</v>
      </c>
      <c r="B23" s="1" t="s">
        <v>89</v>
      </c>
      <c r="C23" s="1" t="str">
        <f t="shared" si="0"/>
        <v>Tidak</v>
      </c>
      <c r="D23" s="1" t="str">
        <f t="shared" si="1"/>
        <v>Tidak</v>
      </c>
      <c r="E23" s="1" t="str">
        <f t="shared" si="2"/>
        <v>Tidak</v>
      </c>
      <c r="F23" s="1" t="str">
        <f t="shared" si="3"/>
        <v>Ya</v>
      </c>
      <c r="G23" s="1" t="str">
        <f t="shared" si="4"/>
        <v>Tidak</v>
      </c>
      <c r="H23" s="1" t="str">
        <f t="shared" si="5"/>
        <v>Tidak</v>
      </c>
      <c r="I23" s="1" t="str">
        <f t="shared" si="6"/>
        <v>Tidak</v>
      </c>
      <c r="J23" s="1" t="str">
        <f t="shared" si="7"/>
        <v>Tidak</v>
      </c>
      <c r="K23" s="1" t="str">
        <f t="shared" si="8"/>
        <v>Tidak</v>
      </c>
      <c r="L23" s="1" t="str">
        <f t="shared" si="9"/>
        <v>Tidak</v>
      </c>
      <c r="M23" s="1" t="str">
        <f t="shared" si="10"/>
        <v>Tidak</v>
      </c>
      <c r="N23" s="1" t="str">
        <f t="shared" si="11"/>
        <v>Tidak</v>
      </c>
      <c r="O23" s="1" t="str">
        <f t="shared" si="12"/>
        <v>Tidak</v>
      </c>
      <c r="P23" s="1" t="str">
        <f t="shared" si="13"/>
        <v>Tidak</v>
      </c>
      <c r="Q23" s="1" t="str">
        <f t="shared" si="14"/>
        <v>Tidak</v>
      </c>
      <c r="R23" s="1" t="str">
        <f t="shared" si="15"/>
        <v>Tidak</v>
      </c>
      <c r="S23" s="9" t="s">
        <v>75</v>
      </c>
      <c r="T23" s="1" t="str">
        <f t="shared" si="16"/>
        <v>IIB</v>
      </c>
      <c r="U23" s="1" t="str">
        <f t="shared" si="21"/>
        <v>Tidak ada metastasis KGB Regional</v>
      </c>
      <c r="V23" s="1" t="s">
        <v>65</v>
      </c>
      <c r="W23" s="3" t="s">
        <v>76</v>
      </c>
      <c r="X23" s="4" t="s">
        <v>17</v>
      </c>
      <c r="Y23" s="1" t="str">
        <f t="shared" si="17"/>
        <v>&gt;5cm</v>
      </c>
      <c r="Z23" s="1" t="s">
        <v>84</v>
      </c>
      <c r="AA23" s="9">
        <v>44711</v>
      </c>
      <c r="AB23" s="9">
        <v>44798</v>
      </c>
      <c r="AC23" s="1">
        <f t="shared" si="18"/>
        <v>88</v>
      </c>
      <c r="AD23" s="1">
        <v>25</v>
      </c>
      <c r="AE23" s="1" t="s">
        <v>90</v>
      </c>
      <c r="AF23" s="1" t="str">
        <f t="shared" si="19"/>
        <v>Tidak ada</v>
      </c>
      <c r="AG23" s="1" t="s">
        <v>91</v>
      </c>
      <c r="AH23" s="1" t="str">
        <f t="shared" si="20"/>
        <v>Tidak ada</v>
      </c>
    </row>
    <row r="24" spans="1:34" ht="39.5" x14ac:dyDescent="0.35">
      <c r="A24" s="1">
        <v>73</v>
      </c>
      <c r="B24" s="1"/>
      <c r="C24" s="1" t="str">
        <f t="shared" si="0"/>
        <v>Tidak</v>
      </c>
      <c r="D24" s="1" t="str">
        <f t="shared" si="1"/>
        <v>Tidak</v>
      </c>
      <c r="E24" s="1" t="str">
        <f t="shared" si="2"/>
        <v>Tidak</v>
      </c>
      <c r="F24" s="1" t="str">
        <f t="shared" si="3"/>
        <v>Tidak</v>
      </c>
      <c r="G24" s="1" t="str">
        <f t="shared" si="4"/>
        <v>Tidak</v>
      </c>
      <c r="H24" s="1" t="str">
        <f t="shared" si="5"/>
        <v>Tidak</v>
      </c>
      <c r="I24" s="1" t="str">
        <f t="shared" si="6"/>
        <v>Tidak</v>
      </c>
      <c r="J24" s="1" t="str">
        <f t="shared" si="7"/>
        <v>Tidak</v>
      </c>
      <c r="K24" s="1" t="str">
        <f t="shared" si="8"/>
        <v>Tidak</v>
      </c>
      <c r="L24" s="1" t="str">
        <f t="shared" si="9"/>
        <v>Tidak</v>
      </c>
      <c r="M24" s="1" t="str">
        <f t="shared" si="10"/>
        <v>Tidak</v>
      </c>
      <c r="N24" s="1" t="str">
        <f t="shared" si="11"/>
        <v>Tidak</v>
      </c>
      <c r="O24" s="1" t="str">
        <f t="shared" si="12"/>
        <v>Tidak</v>
      </c>
      <c r="P24" s="1" t="str">
        <f t="shared" si="13"/>
        <v>Tidak</v>
      </c>
      <c r="Q24" s="1" t="str">
        <f t="shared" si="14"/>
        <v>Tidak</v>
      </c>
      <c r="R24" s="1" t="str">
        <f t="shared" si="15"/>
        <v>Tidak</v>
      </c>
      <c r="S24" s="9" t="s">
        <v>75</v>
      </c>
      <c r="T24" s="1" t="str">
        <f t="shared" si="16"/>
        <v>IIB</v>
      </c>
      <c r="U24" s="1" t="str">
        <f t="shared" si="21"/>
        <v>Tidak ada metastasis KGB Regional</v>
      </c>
      <c r="V24" s="1" t="s">
        <v>65</v>
      </c>
      <c r="W24" s="2" t="s">
        <v>230</v>
      </c>
      <c r="X24" s="1" t="s">
        <v>17</v>
      </c>
      <c r="Y24" s="1" t="str">
        <f t="shared" si="17"/>
        <v>&gt;5cm</v>
      </c>
      <c r="Z24" s="1" t="s">
        <v>84</v>
      </c>
      <c r="AA24" s="9">
        <v>44725</v>
      </c>
      <c r="AB24" s="9">
        <v>44830</v>
      </c>
      <c r="AC24" s="1">
        <f t="shared" si="18"/>
        <v>106</v>
      </c>
      <c r="AD24" s="1">
        <v>30</v>
      </c>
      <c r="AE24" s="1" t="s">
        <v>92</v>
      </c>
      <c r="AF24" s="1" t="str">
        <f t="shared" si="19"/>
        <v>Tidak ada</v>
      </c>
      <c r="AG24" s="1" t="s">
        <v>93</v>
      </c>
      <c r="AH24" s="1" t="str">
        <f t="shared" si="20"/>
        <v>Tidak ada</v>
      </c>
    </row>
    <row r="25" spans="1:34" ht="39.5" x14ac:dyDescent="0.35">
      <c r="A25" s="1">
        <v>44</v>
      </c>
      <c r="B25" s="1"/>
      <c r="C25" s="1" t="str">
        <f t="shared" si="0"/>
        <v>Tidak</v>
      </c>
      <c r="D25" s="1" t="str">
        <f t="shared" si="1"/>
        <v>Tidak</v>
      </c>
      <c r="E25" s="1" t="str">
        <f t="shared" si="2"/>
        <v>Tidak</v>
      </c>
      <c r="F25" s="1" t="str">
        <f t="shared" si="3"/>
        <v>Tidak</v>
      </c>
      <c r="G25" s="1" t="str">
        <f t="shared" si="4"/>
        <v>Tidak</v>
      </c>
      <c r="H25" s="1" t="str">
        <f t="shared" si="5"/>
        <v>Tidak</v>
      </c>
      <c r="I25" s="1" t="str">
        <f t="shared" si="6"/>
        <v>Tidak</v>
      </c>
      <c r="J25" s="1" t="str">
        <f t="shared" si="7"/>
        <v>Tidak</v>
      </c>
      <c r="K25" s="1" t="str">
        <f t="shared" si="8"/>
        <v>Tidak</v>
      </c>
      <c r="L25" s="1" t="str">
        <f t="shared" si="9"/>
        <v>Tidak</v>
      </c>
      <c r="M25" s="1" t="str">
        <f t="shared" si="10"/>
        <v>Tidak</v>
      </c>
      <c r="N25" s="1" t="str">
        <f t="shared" si="11"/>
        <v>Tidak</v>
      </c>
      <c r="O25" s="1" t="str">
        <f t="shared" si="12"/>
        <v>Tidak</v>
      </c>
      <c r="P25" s="1" t="str">
        <f t="shared" si="13"/>
        <v>Tidak</v>
      </c>
      <c r="Q25" s="1" t="str">
        <f t="shared" si="14"/>
        <v>Tidak</v>
      </c>
      <c r="R25" s="1" t="str">
        <f t="shared" si="15"/>
        <v>Tidak</v>
      </c>
      <c r="S25" s="9" t="s">
        <v>75</v>
      </c>
      <c r="T25" s="1" t="str">
        <f t="shared" si="16"/>
        <v>IIB</v>
      </c>
      <c r="U25" s="1" t="str">
        <f t="shared" si="21"/>
        <v>Tidak ada metastasis KGB Regional</v>
      </c>
      <c r="V25" s="1" t="s">
        <v>65</v>
      </c>
      <c r="W25" s="2" t="s">
        <v>224</v>
      </c>
      <c r="X25" s="1" t="s">
        <v>17</v>
      </c>
      <c r="Y25" s="1" t="str">
        <f t="shared" si="17"/>
        <v>&gt;5cm</v>
      </c>
      <c r="Z25" s="1" t="s">
        <v>80</v>
      </c>
      <c r="AA25" s="9">
        <v>44805</v>
      </c>
      <c r="AB25" s="9">
        <v>44910</v>
      </c>
      <c r="AC25" s="1">
        <f t="shared" si="18"/>
        <v>106</v>
      </c>
      <c r="AD25" s="1">
        <v>25</v>
      </c>
      <c r="AE25" s="1"/>
      <c r="AF25" s="1" t="str">
        <f t="shared" si="19"/>
        <v>Tidak ada</v>
      </c>
      <c r="AG25" s="1" t="s">
        <v>94</v>
      </c>
      <c r="AH25" s="1" t="str">
        <f t="shared" si="20"/>
        <v>Tidak ada</v>
      </c>
    </row>
    <row r="26" spans="1:34" ht="26.5" x14ac:dyDescent="0.35">
      <c r="A26" s="1">
        <v>51</v>
      </c>
      <c r="B26" s="1"/>
      <c r="C26" s="1" t="str">
        <f t="shared" si="0"/>
        <v>Tidak</v>
      </c>
      <c r="D26" s="1" t="str">
        <f t="shared" si="1"/>
        <v>Tidak</v>
      </c>
      <c r="E26" s="1" t="str">
        <f t="shared" si="2"/>
        <v>Tidak</v>
      </c>
      <c r="F26" s="1" t="str">
        <f t="shared" si="3"/>
        <v>Tidak</v>
      </c>
      <c r="G26" s="1" t="str">
        <f t="shared" si="4"/>
        <v>Tidak</v>
      </c>
      <c r="H26" s="1" t="str">
        <f t="shared" si="5"/>
        <v>Tidak</v>
      </c>
      <c r="I26" s="1" t="str">
        <f t="shared" si="6"/>
        <v>Tidak</v>
      </c>
      <c r="J26" s="1" t="str">
        <f t="shared" si="7"/>
        <v>Tidak</v>
      </c>
      <c r="K26" s="1" t="str">
        <f t="shared" si="8"/>
        <v>Tidak</v>
      </c>
      <c r="L26" s="1" t="str">
        <f t="shared" si="9"/>
        <v>Tidak</v>
      </c>
      <c r="M26" s="1" t="str">
        <f t="shared" si="10"/>
        <v>Tidak</v>
      </c>
      <c r="N26" s="1" t="str">
        <f t="shared" si="11"/>
        <v>Tidak</v>
      </c>
      <c r="O26" s="1" t="str">
        <f t="shared" si="12"/>
        <v>Tidak</v>
      </c>
      <c r="P26" s="1" t="str">
        <f t="shared" si="13"/>
        <v>Tidak</v>
      </c>
      <c r="Q26" s="1" t="str">
        <f t="shared" si="14"/>
        <v>Tidak</v>
      </c>
      <c r="R26" s="1" t="str">
        <f t="shared" si="15"/>
        <v>Tidak</v>
      </c>
      <c r="S26" s="9" t="s">
        <v>95</v>
      </c>
      <c r="T26" s="1" t="str">
        <f t="shared" si="16"/>
        <v>IIA</v>
      </c>
      <c r="U26" s="1" t="str">
        <f t="shared" si="21"/>
        <v>Tidak ada metastasis KGB Regional</v>
      </c>
      <c r="V26" s="1" t="s">
        <v>96</v>
      </c>
      <c r="W26" s="2" t="s">
        <v>229</v>
      </c>
      <c r="X26" s="1" t="s">
        <v>10</v>
      </c>
      <c r="Y26" s="1" t="str">
        <f t="shared" si="17"/>
        <v>&gt;2 cm - &lt;5cm</v>
      </c>
      <c r="Z26" s="1" t="s">
        <v>80</v>
      </c>
      <c r="AA26" s="9">
        <v>44768</v>
      </c>
      <c r="AB26" s="9">
        <v>44921</v>
      </c>
      <c r="AC26" s="1">
        <f t="shared" si="18"/>
        <v>154</v>
      </c>
      <c r="AD26" s="1">
        <v>25</v>
      </c>
      <c r="AE26" s="1" t="s">
        <v>97</v>
      </c>
      <c r="AF26" s="1" t="str">
        <f t="shared" si="19"/>
        <v>Tidak ada</v>
      </c>
      <c r="AG26" s="1" t="s">
        <v>98</v>
      </c>
      <c r="AH26" s="1" t="str">
        <f t="shared" si="20"/>
        <v>Tidak ada</v>
      </c>
    </row>
    <row r="27" spans="1:34" ht="39.5" x14ac:dyDescent="0.35">
      <c r="A27" s="1">
        <v>65</v>
      </c>
      <c r="B27" s="1" t="s">
        <v>99</v>
      </c>
      <c r="C27" s="1" t="str">
        <f t="shared" si="0"/>
        <v>Tidak</v>
      </c>
      <c r="D27" s="1" t="str">
        <f t="shared" si="1"/>
        <v>Tidak</v>
      </c>
      <c r="E27" s="1" t="str">
        <f t="shared" si="2"/>
        <v>Tidak</v>
      </c>
      <c r="F27" s="1" t="str">
        <f t="shared" si="3"/>
        <v>Ya</v>
      </c>
      <c r="G27" s="1" t="str">
        <f t="shared" si="4"/>
        <v>Tidak</v>
      </c>
      <c r="H27" s="1" t="str">
        <f t="shared" si="5"/>
        <v>Tidak</v>
      </c>
      <c r="I27" s="1" t="str">
        <f t="shared" si="6"/>
        <v>Tidak</v>
      </c>
      <c r="J27" s="1" t="str">
        <f t="shared" si="7"/>
        <v>Tidak</v>
      </c>
      <c r="K27" s="1" t="str">
        <f t="shared" si="8"/>
        <v>Tidak</v>
      </c>
      <c r="L27" s="1" t="str">
        <f t="shared" si="9"/>
        <v>Tidak</v>
      </c>
      <c r="M27" s="1" t="str">
        <f t="shared" si="10"/>
        <v>Tidak</v>
      </c>
      <c r="N27" s="1" t="str">
        <f t="shared" si="11"/>
        <v>Tidak</v>
      </c>
      <c r="O27" s="1" t="str">
        <f t="shared" si="12"/>
        <v>Tidak</v>
      </c>
      <c r="P27" s="1" t="str">
        <f t="shared" si="13"/>
        <v>Tidak</v>
      </c>
      <c r="Q27" s="1" t="str">
        <f t="shared" si="14"/>
        <v>Tidak</v>
      </c>
      <c r="R27" s="1" t="str">
        <f t="shared" si="15"/>
        <v>Tidak</v>
      </c>
      <c r="S27" s="9" t="s">
        <v>100</v>
      </c>
      <c r="T27" s="1" t="str">
        <f t="shared" si="16"/>
        <v>IIIA</v>
      </c>
      <c r="U27" s="1" t="str">
        <f t="shared" si="21"/>
        <v>Metastasis pada KGB aksila ipsilateral</v>
      </c>
      <c r="V27" s="1" t="s">
        <v>101</v>
      </c>
      <c r="W27" s="2" t="s">
        <v>238</v>
      </c>
      <c r="X27" s="1" t="s">
        <v>17</v>
      </c>
      <c r="Y27" s="1" t="str">
        <f t="shared" si="17"/>
        <v>&gt;5cm</v>
      </c>
      <c r="Z27" s="1" t="s">
        <v>84</v>
      </c>
      <c r="AA27" s="9">
        <v>44803</v>
      </c>
      <c r="AB27" s="9">
        <v>44908</v>
      </c>
      <c r="AC27" s="1">
        <f t="shared" si="18"/>
        <v>106</v>
      </c>
      <c r="AD27" s="1">
        <v>25</v>
      </c>
      <c r="AE27" s="1" t="s">
        <v>102</v>
      </c>
      <c r="AF27" s="1" t="str">
        <f t="shared" si="19"/>
        <v>Tidak ada</v>
      </c>
      <c r="AG27" s="1" t="s">
        <v>103</v>
      </c>
      <c r="AH27" s="1" t="str">
        <f t="shared" si="20"/>
        <v>Tidak ada</v>
      </c>
    </row>
    <row r="28" spans="1:34" ht="26.5" x14ac:dyDescent="0.35">
      <c r="A28" s="1">
        <v>65</v>
      </c>
      <c r="B28" s="1"/>
      <c r="C28" s="1" t="str">
        <f t="shared" si="0"/>
        <v>Tidak</v>
      </c>
      <c r="D28" s="1" t="str">
        <f t="shared" si="1"/>
        <v>Tidak</v>
      </c>
      <c r="E28" s="1" t="str">
        <f t="shared" si="2"/>
        <v>Tidak</v>
      </c>
      <c r="F28" s="1" t="str">
        <f t="shared" si="3"/>
        <v>Tidak</v>
      </c>
      <c r="G28" s="1" t="str">
        <f t="shared" si="4"/>
        <v>Tidak</v>
      </c>
      <c r="H28" s="1" t="str">
        <f t="shared" si="5"/>
        <v>Tidak</v>
      </c>
      <c r="I28" s="1" t="str">
        <f t="shared" si="6"/>
        <v>Tidak</v>
      </c>
      <c r="J28" s="1" t="str">
        <f t="shared" si="7"/>
        <v>Tidak</v>
      </c>
      <c r="K28" s="1" t="str">
        <f t="shared" si="8"/>
        <v>Tidak</v>
      </c>
      <c r="L28" s="1" t="str">
        <f t="shared" si="9"/>
        <v>Tidak</v>
      </c>
      <c r="M28" s="1" t="str">
        <f t="shared" si="10"/>
        <v>Tidak</v>
      </c>
      <c r="N28" s="1" t="str">
        <f t="shared" si="11"/>
        <v>Tidak</v>
      </c>
      <c r="O28" s="1" t="str">
        <f t="shared" si="12"/>
        <v>Tidak</v>
      </c>
      <c r="P28" s="1" t="str">
        <f t="shared" si="13"/>
        <v>Tidak</v>
      </c>
      <c r="Q28" s="1" t="str">
        <f t="shared" si="14"/>
        <v>Tidak</v>
      </c>
      <c r="R28" s="1" t="str">
        <f t="shared" si="15"/>
        <v>Tidak</v>
      </c>
      <c r="S28" s="9" t="s">
        <v>28</v>
      </c>
      <c r="T28" s="1" t="str">
        <f t="shared" si="16"/>
        <v>IIIB</v>
      </c>
      <c r="U28" s="1" t="str">
        <f t="shared" si="21"/>
        <v>Metastasis pada KGB aksila ipsilateral</v>
      </c>
      <c r="V28" s="1" t="s">
        <v>104</v>
      </c>
      <c r="W28" s="2" t="s">
        <v>76</v>
      </c>
      <c r="X28" s="1" t="s">
        <v>22</v>
      </c>
      <c r="Y28" s="1" t="str">
        <f t="shared" si="17"/>
        <v>&gt;5 cm dengan eksistensi langsung ke dinding dada/kulit</v>
      </c>
      <c r="Z28" s="1" t="s">
        <v>84</v>
      </c>
      <c r="AA28" s="9">
        <v>44742</v>
      </c>
      <c r="AB28" s="9">
        <v>44894</v>
      </c>
      <c r="AC28" s="1">
        <f t="shared" si="18"/>
        <v>153</v>
      </c>
      <c r="AD28" s="1">
        <v>25</v>
      </c>
      <c r="AE28" s="1" t="s">
        <v>105</v>
      </c>
      <c r="AF28" s="1" t="str">
        <f t="shared" si="19"/>
        <v>Tidak ada</v>
      </c>
      <c r="AG28" s="1" t="s">
        <v>106</v>
      </c>
      <c r="AH28" s="1" t="str">
        <f t="shared" si="20"/>
        <v>Tidak ada</v>
      </c>
    </row>
    <row r="29" spans="1:34" ht="39" x14ac:dyDescent="0.35">
      <c r="A29" s="1">
        <v>43</v>
      </c>
      <c r="B29" s="1" t="s">
        <v>107</v>
      </c>
      <c r="C29" s="1" t="str">
        <f t="shared" si="0"/>
        <v>Tidak</v>
      </c>
      <c r="D29" s="1" t="str">
        <f t="shared" si="1"/>
        <v>Tidak</v>
      </c>
      <c r="E29" s="1" t="str">
        <f t="shared" si="2"/>
        <v>Tidak</v>
      </c>
      <c r="F29" s="1" t="str">
        <f t="shared" si="3"/>
        <v>Ya</v>
      </c>
      <c r="G29" s="1" t="str">
        <f t="shared" si="4"/>
        <v>Tidak</v>
      </c>
      <c r="H29" s="1" t="str">
        <f t="shared" si="5"/>
        <v>Tidak</v>
      </c>
      <c r="I29" s="1" t="str">
        <f t="shared" si="6"/>
        <v>Tidak</v>
      </c>
      <c r="J29" s="1" t="str">
        <f t="shared" si="7"/>
        <v>Tidak</v>
      </c>
      <c r="K29" s="1" t="str">
        <f t="shared" si="8"/>
        <v>Tidak</v>
      </c>
      <c r="L29" s="1" t="str">
        <f t="shared" si="9"/>
        <v>Tidak</v>
      </c>
      <c r="M29" s="1" t="str">
        <f t="shared" si="10"/>
        <v>Tidak</v>
      </c>
      <c r="N29" s="1" t="str">
        <f t="shared" si="11"/>
        <v>Tidak</v>
      </c>
      <c r="O29" s="1" t="str">
        <f t="shared" si="12"/>
        <v>Tidak</v>
      </c>
      <c r="P29" s="1" t="str">
        <f t="shared" si="13"/>
        <v>Tidak</v>
      </c>
      <c r="Q29" s="1" t="str">
        <f t="shared" si="14"/>
        <v>Tidak</v>
      </c>
      <c r="R29" s="1" t="str">
        <f t="shared" si="15"/>
        <v>Tidak</v>
      </c>
      <c r="S29" s="9" t="s">
        <v>75</v>
      </c>
      <c r="T29" s="1" t="str">
        <f t="shared" si="16"/>
        <v>IIB</v>
      </c>
      <c r="U29" s="1" t="str">
        <f t="shared" si="21"/>
        <v>Tidak ada metastasis KGB Regional</v>
      </c>
      <c r="V29" s="1" t="s">
        <v>108</v>
      </c>
      <c r="W29" s="3" t="s">
        <v>219</v>
      </c>
      <c r="X29" s="4" t="s">
        <v>17</v>
      </c>
      <c r="Y29" s="1" t="str">
        <f t="shared" si="17"/>
        <v>&gt;5cm</v>
      </c>
      <c r="Z29" s="1" t="s">
        <v>11</v>
      </c>
      <c r="AA29" s="9">
        <v>44093</v>
      </c>
      <c r="AB29" s="9">
        <v>44928</v>
      </c>
      <c r="AC29" s="1">
        <f t="shared" si="18"/>
        <v>836</v>
      </c>
      <c r="AD29" s="1">
        <v>30</v>
      </c>
      <c r="AE29" s="1" t="s">
        <v>109</v>
      </c>
      <c r="AF29" s="1" t="str">
        <f t="shared" si="19"/>
        <v>Tidak ada</v>
      </c>
      <c r="AG29" s="1" t="s">
        <v>110</v>
      </c>
      <c r="AH29" s="1" t="str">
        <f t="shared" si="20"/>
        <v>Tidak ada</v>
      </c>
    </row>
    <row r="30" spans="1:34" ht="26.5" x14ac:dyDescent="0.35">
      <c r="A30" s="1">
        <v>53</v>
      </c>
      <c r="B30" s="1"/>
      <c r="C30" s="1" t="str">
        <f t="shared" si="0"/>
        <v>Tidak</v>
      </c>
      <c r="D30" s="1" t="str">
        <f t="shared" si="1"/>
        <v>Tidak</v>
      </c>
      <c r="E30" s="1" t="str">
        <f t="shared" si="2"/>
        <v>Tidak</v>
      </c>
      <c r="F30" s="1" t="str">
        <f t="shared" si="3"/>
        <v>Tidak</v>
      </c>
      <c r="G30" s="1" t="str">
        <f t="shared" si="4"/>
        <v>Tidak</v>
      </c>
      <c r="H30" s="1" t="str">
        <f t="shared" si="5"/>
        <v>Tidak</v>
      </c>
      <c r="I30" s="1" t="str">
        <f t="shared" si="6"/>
        <v>Tidak</v>
      </c>
      <c r="J30" s="1" t="str">
        <f t="shared" si="7"/>
        <v>Tidak</v>
      </c>
      <c r="K30" s="1" t="str">
        <f t="shared" si="8"/>
        <v>Tidak</v>
      </c>
      <c r="L30" s="1" t="str">
        <f t="shared" si="9"/>
        <v>Tidak</v>
      </c>
      <c r="M30" s="1" t="str">
        <f t="shared" si="10"/>
        <v>Tidak</v>
      </c>
      <c r="N30" s="1" t="str">
        <f t="shared" si="11"/>
        <v>Tidak</v>
      </c>
      <c r="O30" s="1" t="str">
        <f t="shared" si="12"/>
        <v>Tidak</v>
      </c>
      <c r="P30" s="1" t="str">
        <f t="shared" si="13"/>
        <v>Tidak</v>
      </c>
      <c r="Q30" s="1" t="str">
        <f t="shared" si="14"/>
        <v>Tidak</v>
      </c>
      <c r="R30" s="1" t="str">
        <f t="shared" si="15"/>
        <v>Tidak</v>
      </c>
      <c r="S30" s="9" t="s">
        <v>20</v>
      </c>
      <c r="T30" s="1" t="str">
        <f t="shared" si="16"/>
        <v>IIIB</v>
      </c>
      <c r="U30" s="1" t="str">
        <f t="shared" si="21"/>
        <v>1-3 KGB aksila</v>
      </c>
      <c r="V30" s="1" t="s">
        <v>111</v>
      </c>
      <c r="W30" s="2" t="s">
        <v>220</v>
      </c>
      <c r="X30" s="1" t="s">
        <v>22</v>
      </c>
      <c r="Y30" s="1" t="str">
        <f t="shared" si="17"/>
        <v>&gt;5 cm dengan eksistensi langsung ke dinding dada/kulit</v>
      </c>
      <c r="Z30" s="1" t="s">
        <v>11</v>
      </c>
      <c r="AA30" s="9">
        <v>44866</v>
      </c>
      <c r="AB30" s="9">
        <v>44985</v>
      </c>
      <c r="AC30" s="1">
        <f t="shared" si="18"/>
        <v>120</v>
      </c>
      <c r="AD30" s="1">
        <v>30</v>
      </c>
      <c r="AE30" s="1" t="s">
        <v>112</v>
      </c>
      <c r="AF30" s="1" t="str">
        <f t="shared" si="19"/>
        <v>Tidak ada</v>
      </c>
      <c r="AG30" s="1" t="s">
        <v>113</v>
      </c>
      <c r="AH30" s="1" t="str">
        <f t="shared" si="20"/>
        <v>Tidak ada</v>
      </c>
    </row>
    <row r="31" spans="1:34" ht="39.5" x14ac:dyDescent="0.35">
      <c r="A31" s="1">
        <v>66</v>
      </c>
      <c r="B31" s="1"/>
      <c r="C31" s="1" t="str">
        <f t="shared" si="0"/>
        <v>Tidak</v>
      </c>
      <c r="D31" s="1" t="str">
        <f t="shared" si="1"/>
        <v>Tidak</v>
      </c>
      <c r="E31" s="1" t="str">
        <f t="shared" si="2"/>
        <v>Tidak</v>
      </c>
      <c r="F31" s="1" t="str">
        <f t="shared" si="3"/>
        <v>Tidak</v>
      </c>
      <c r="G31" s="1" t="str">
        <f t="shared" si="4"/>
        <v>Tidak</v>
      </c>
      <c r="H31" s="1" t="str">
        <f t="shared" si="5"/>
        <v>Tidak</v>
      </c>
      <c r="I31" s="1" t="str">
        <f t="shared" si="6"/>
        <v>Tidak</v>
      </c>
      <c r="J31" s="1" t="str">
        <f t="shared" si="7"/>
        <v>Tidak</v>
      </c>
      <c r="K31" s="1" t="str">
        <f t="shared" si="8"/>
        <v>Tidak</v>
      </c>
      <c r="L31" s="1" t="str">
        <f t="shared" si="9"/>
        <v>Tidak</v>
      </c>
      <c r="M31" s="1" t="str">
        <f t="shared" si="10"/>
        <v>Tidak</v>
      </c>
      <c r="N31" s="1" t="str">
        <f t="shared" si="11"/>
        <v>Tidak</v>
      </c>
      <c r="O31" s="1" t="str">
        <f t="shared" si="12"/>
        <v>Tidak</v>
      </c>
      <c r="P31" s="1" t="str">
        <f t="shared" si="13"/>
        <v>Tidak</v>
      </c>
      <c r="Q31" s="1" t="str">
        <f t="shared" si="14"/>
        <v>Tidak</v>
      </c>
      <c r="R31" s="1" t="str">
        <f t="shared" si="15"/>
        <v>Tidak</v>
      </c>
      <c r="S31" s="9" t="s">
        <v>114</v>
      </c>
      <c r="T31" s="1" t="str">
        <f t="shared" si="16"/>
        <v>IIIA</v>
      </c>
      <c r="U31" s="1" t="str">
        <f t="shared" si="21"/>
        <v>Metastasis pada KGB aksila ipsilateral</v>
      </c>
      <c r="V31" s="1" t="s">
        <v>115</v>
      </c>
      <c r="W31" s="2" t="s">
        <v>218</v>
      </c>
      <c r="X31" s="1" t="s">
        <v>17</v>
      </c>
      <c r="Y31" s="1" t="str">
        <f t="shared" si="17"/>
        <v>&gt;5cm</v>
      </c>
      <c r="Z31" s="1" t="s">
        <v>11</v>
      </c>
      <c r="AA31" s="9">
        <v>44985</v>
      </c>
      <c r="AB31" s="9">
        <v>44985</v>
      </c>
      <c r="AC31" s="1">
        <f t="shared" si="18"/>
        <v>1</v>
      </c>
      <c r="AD31" s="1">
        <v>30</v>
      </c>
      <c r="AE31" s="1" t="s">
        <v>116</v>
      </c>
      <c r="AF31" s="1" t="str">
        <f t="shared" si="19"/>
        <v>Tidak ada</v>
      </c>
      <c r="AG31" s="1" t="s">
        <v>117</v>
      </c>
      <c r="AH31" s="1" t="str">
        <f t="shared" si="20"/>
        <v>Tidak ada</v>
      </c>
    </row>
    <row r="32" spans="1:34" ht="39.5" x14ac:dyDescent="0.35">
      <c r="A32" s="1">
        <v>48</v>
      </c>
      <c r="B32" s="1"/>
      <c r="C32" s="1" t="str">
        <f t="shared" si="0"/>
        <v>Tidak</v>
      </c>
      <c r="D32" s="1" t="str">
        <f t="shared" si="1"/>
        <v>Tidak</v>
      </c>
      <c r="E32" s="1" t="str">
        <f t="shared" si="2"/>
        <v>Tidak</v>
      </c>
      <c r="F32" s="1" t="str">
        <f t="shared" si="3"/>
        <v>Tidak</v>
      </c>
      <c r="G32" s="1" t="str">
        <f t="shared" si="4"/>
        <v>Tidak</v>
      </c>
      <c r="H32" s="1" t="str">
        <f t="shared" si="5"/>
        <v>Tidak</v>
      </c>
      <c r="I32" s="1" t="str">
        <f t="shared" si="6"/>
        <v>Tidak</v>
      </c>
      <c r="J32" s="1" t="str">
        <f t="shared" si="7"/>
        <v>Tidak</v>
      </c>
      <c r="K32" s="1" t="str">
        <f t="shared" si="8"/>
        <v>Tidak</v>
      </c>
      <c r="L32" s="1" t="str">
        <f t="shared" si="9"/>
        <v>Tidak</v>
      </c>
      <c r="M32" s="1" t="str">
        <f t="shared" si="10"/>
        <v>Tidak</v>
      </c>
      <c r="N32" s="1" t="str">
        <f t="shared" si="11"/>
        <v>Tidak</v>
      </c>
      <c r="O32" s="1" t="str">
        <f t="shared" si="12"/>
        <v>Tidak</v>
      </c>
      <c r="P32" s="1" t="str">
        <f t="shared" si="13"/>
        <v>Tidak</v>
      </c>
      <c r="Q32" s="1" t="str">
        <f t="shared" si="14"/>
        <v>Tidak</v>
      </c>
      <c r="R32" s="1" t="str">
        <f t="shared" si="15"/>
        <v>Tidak</v>
      </c>
      <c r="S32" s="9" t="s">
        <v>118</v>
      </c>
      <c r="T32" s="1" t="str">
        <f t="shared" si="16"/>
        <v>IIIA</v>
      </c>
      <c r="U32" s="1" t="str">
        <f t="shared" si="21"/>
        <v>4-9 KGB aksila</v>
      </c>
      <c r="V32" s="1" t="s">
        <v>119</v>
      </c>
      <c r="W32" s="2" t="s">
        <v>231</v>
      </c>
      <c r="X32" s="1" t="s">
        <v>58</v>
      </c>
      <c r="Y32" s="1" t="str">
        <f t="shared" si="17"/>
        <v>&lt;2 cm - 2 cm</v>
      </c>
      <c r="Z32" s="1" t="s">
        <v>11</v>
      </c>
      <c r="AA32" s="9">
        <v>44866</v>
      </c>
      <c r="AB32" s="9">
        <v>45002</v>
      </c>
      <c r="AC32" s="1">
        <f t="shared" si="18"/>
        <v>137</v>
      </c>
      <c r="AD32" s="1">
        <v>30</v>
      </c>
      <c r="AE32" s="1" t="s">
        <v>120</v>
      </c>
      <c r="AF32" s="1" t="str">
        <f t="shared" si="19"/>
        <v>Tidak ada</v>
      </c>
      <c r="AG32" s="1" t="s">
        <v>121</v>
      </c>
      <c r="AH32" s="1" t="str">
        <f t="shared" si="20"/>
        <v>Tidak ada</v>
      </c>
    </row>
    <row r="33" spans="1:34" ht="39.5" x14ac:dyDescent="0.35">
      <c r="A33" s="1">
        <v>63</v>
      </c>
      <c r="B33" s="1"/>
      <c r="C33" s="1" t="str">
        <f t="shared" si="0"/>
        <v>Tidak</v>
      </c>
      <c r="D33" s="1" t="str">
        <f t="shared" si="1"/>
        <v>Tidak</v>
      </c>
      <c r="E33" s="1" t="str">
        <f t="shared" si="2"/>
        <v>Tidak</v>
      </c>
      <c r="F33" s="1" t="str">
        <f t="shared" si="3"/>
        <v>Tidak</v>
      </c>
      <c r="G33" s="1" t="str">
        <f t="shared" si="4"/>
        <v>Tidak</v>
      </c>
      <c r="H33" s="1" t="str">
        <f t="shared" si="5"/>
        <v>Tidak</v>
      </c>
      <c r="I33" s="1" t="str">
        <f t="shared" si="6"/>
        <v>Tidak</v>
      </c>
      <c r="J33" s="1" t="str">
        <f t="shared" si="7"/>
        <v>Tidak</v>
      </c>
      <c r="K33" s="1" t="str">
        <f t="shared" si="8"/>
        <v>Tidak</v>
      </c>
      <c r="L33" s="1" t="str">
        <f t="shared" si="9"/>
        <v>Tidak</v>
      </c>
      <c r="M33" s="1" t="str">
        <f t="shared" si="10"/>
        <v>Tidak</v>
      </c>
      <c r="N33" s="1" t="str">
        <f t="shared" si="11"/>
        <v>Tidak</v>
      </c>
      <c r="O33" s="1" t="str">
        <f t="shared" si="12"/>
        <v>Tidak</v>
      </c>
      <c r="P33" s="1" t="str">
        <f t="shared" si="13"/>
        <v>Tidak</v>
      </c>
      <c r="Q33" s="1" t="str">
        <f t="shared" si="14"/>
        <v>Tidak</v>
      </c>
      <c r="R33" s="1" t="str">
        <f t="shared" si="15"/>
        <v>Tidak</v>
      </c>
      <c r="S33" s="9" t="s">
        <v>56</v>
      </c>
      <c r="T33" s="1" t="str">
        <f t="shared" si="16"/>
        <v>IA</v>
      </c>
      <c r="U33" s="1" t="str">
        <f t="shared" si="21"/>
        <v>KGB Regional tak dapat dinilai</v>
      </c>
      <c r="V33" s="1" t="s">
        <v>122</v>
      </c>
      <c r="W33" s="2" t="s">
        <v>225</v>
      </c>
      <c r="X33" s="1" t="s">
        <v>58</v>
      </c>
      <c r="Y33" s="1" t="str">
        <f t="shared" si="17"/>
        <v>&lt;2 cm - 2 cm</v>
      </c>
      <c r="Z33" s="1" t="s">
        <v>11</v>
      </c>
      <c r="AA33" s="11">
        <v>44851</v>
      </c>
      <c r="AB33" s="11">
        <v>44980</v>
      </c>
      <c r="AC33" s="1">
        <f t="shared" si="18"/>
        <v>130</v>
      </c>
      <c r="AD33" s="1">
        <v>30</v>
      </c>
      <c r="AE33" s="1" t="s">
        <v>123</v>
      </c>
      <c r="AF33" s="1" t="str">
        <f t="shared" si="19"/>
        <v>Tidak ada</v>
      </c>
      <c r="AG33" s="1" t="s">
        <v>124</v>
      </c>
      <c r="AH33" s="1" t="str">
        <f t="shared" si="20"/>
        <v>Tidak ada</v>
      </c>
    </row>
    <row r="34" spans="1:34" ht="39.5" x14ac:dyDescent="0.35">
      <c r="A34" s="1">
        <v>48</v>
      </c>
      <c r="B34" s="1" t="s">
        <v>125</v>
      </c>
      <c r="C34" s="1" t="str">
        <f t="shared" ref="C34:C57" si="22">IF(ISNUMBER(SEARCH(LOWER($C$1),LOWER(B34))),"Ya","Tidak")</f>
        <v>Tidak</v>
      </c>
      <c r="D34" s="1" t="str">
        <f t="shared" ref="D34:D57" si="23">IF(ISNUMBER(SEARCH(LOWER($D$1),LOWER(B34))),"Ya","Tidak")</f>
        <v>Tidak</v>
      </c>
      <c r="E34" s="1" t="str">
        <f t="shared" ref="E34:E57" si="24">IF(ISNUMBER(SEARCH(LOWER($E$1),LOWER(B34))),"Ya","Tidak")</f>
        <v>Tidak</v>
      </c>
      <c r="F34" s="1" t="str">
        <f t="shared" ref="F34:F57" si="25">IF(ISNUMBER(SEARCH(LOWER($F$1),LOWER(B34))),"Ya","Tidak")</f>
        <v>Tidak</v>
      </c>
      <c r="G34" s="1" t="str">
        <f t="shared" ref="G34:G57" si="26">IF(ISNUMBER(SEARCH(LOWER($G$1),LOWER(B34))),"Ya","Tidak")</f>
        <v>Tidak</v>
      </c>
      <c r="H34" s="1" t="str">
        <f t="shared" ref="H34:H57" si="27">IF(ISNUMBER(SEARCH(LOWER($H$1),LOWER(B34))),"Ya","Tidak")</f>
        <v>Tidak</v>
      </c>
      <c r="I34" s="1" t="str">
        <f t="shared" ref="I34:I57" si="28">IF(ISNUMBER(SEARCH(LOWER($I$1),LOWER(B34))),"Ya","Tidak")</f>
        <v>Tidak</v>
      </c>
      <c r="J34" s="1" t="str">
        <f t="shared" ref="J34:J57" si="29">IF(OR(ISNUMBER(SEARCH(LOWER($J$1),LOWER(B34))), ISNUMBER(SEARCH("dm",LOWER(B34)))),"Ya","Tidak")</f>
        <v>Tidak</v>
      </c>
      <c r="K34" s="1" t="str">
        <f t="shared" ref="K34:K57" si="30">IF(ISNUMBER(SEARCH(LOWER($K$1),LOWER(B34))),"Ya","Tidak")</f>
        <v>Tidak</v>
      </c>
      <c r="L34" s="1" t="str">
        <f t="shared" ref="L34:L57" si="31">IF(ISNUMBER(SEARCH(LOWER($L$1),LOWER(B34))),"Ya","Tidak")</f>
        <v>Tidak</v>
      </c>
      <c r="M34" s="1" t="str">
        <f t="shared" ref="M34:M57" si="32">IF(ISNUMBER(SEARCH(LOWER($M$1),LOWER(B34))),"Ya","Tidak")</f>
        <v>Tidak</v>
      </c>
      <c r="N34" s="1" t="str">
        <f t="shared" ref="N34:N57" si="33">IF(ISNUMBER(SEARCH(LOWER($N$1),LOWER(B34))),"Ya","Tidak")</f>
        <v>Tidak</v>
      </c>
      <c r="O34" s="1" t="str">
        <f t="shared" ref="O34:O57" si="34">IF(ISNUMBER(SEARCH(LOWER($O$1),LOWER(B34))),"Ya","Tidak")</f>
        <v>Ya</v>
      </c>
      <c r="P34" s="1" t="str">
        <f t="shared" ref="P34:P57" si="35">IF(ISNUMBER(SEARCH(LOWER($P$1),LOWER(B34))),"Ya","Tidak")</f>
        <v>Tidak</v>
      </c>
      <c r="Q34" s="1" t="str">
        <f t="shared" ref="Q34:Q57" si="36">IF(ISNUMBER(SEARCH(LOWER($Q$1),LOWER(B34))),"Ya","Tidak")</f>
        <v>Tidak</v>
      </c>
      <c r="R34" s="1" t="str">
        <f t="shared" ref="R34:R57" si="37">IF(ISNUMBER(SEARCH(LOWER($R$1),LOWER(B34))),"Ya","Tidak")</f>
        <v>Tidak</v>
      </c>
      <c r="S34" s="9" t="s">
        <v>114</v>
      </c>
      <c r="T34" s="1" t="str">
        <f t="shared" ref="T34:T57" si="38">IF(S34="",0,IF(ISNUMBER(SEARCH("IV",S34)),"IV",IF(OR(ISNUMBER(SEARCH("IIIC",S34)),ISNUMBER(SEARCH("III C",S34))),"IIIC",
IF(OR(ISNUMBER(SEARCH("IIIB",S34)),ISNUMBER(SEARCH("III B",S34))),"IIIB",IF(OR(ISNUMBER(SEARCH("IIIA",S34)),ISNUMBER(SEARCH("III A",S34))),"IIIA",
IF(OR(ISNUMBER(SEARCH("IIB",S34)),ISNUMBER(SEARCH("II B",S34))),"IIB",IF(OR(ISNUMBER(SEARCH("IIA",S34)),ISNUMBER(SEARCH("II A",S34))),"IIA",
IF(OR(ISNUMBER(SEARCH("IB",S34)),ISNUMBER(SEARCH("I B",S34))),"IB",IF(OR(ISNUMBER(SEARCH("IA",S34)),ISNUMBER(SEARCH("I A",S34))),"IA",0)))))))))</f>
        <v>IIIA</v>
      </c>
      <c r="U34" s="1" t="str">
        <f t="shared" si="21"/>
        <v>Metastasis pada KGB aksila ipsilateral</v>
      </c>
      <c r="V34" s="1" t="s">
        <v>126</v>
      </c>
      <c r="W34" s="2" t="s">
        <v>226</v>
      </c>
      <c r="X34" s="1" t="s">
        <v>10</v>
      </c>
      <c r="Y34" s="1" t="str">
        <f t="shared" ref="Y34:Y57" si="39">IF(X34="T4","&gt;5 cm dengan eksistensi langsung ke dinding dada/kulit",IF(X34="T3","&gt;5cm",IF(X34="T2","&gt;2 cm - &lt;5cm",IF(X34="T1","&lt;2 cm - 2 cm",0))))</f>
        <v>&gt;2 cm - &lt;5cm</v>
      </c>
      <c r="Z34" s="1" t="s">
        <v>11</v>
      </c>
      <c r="AA34" s="9">
        <v>44848</v>
      </c>
      <c r="AB34" s="9">
        <v>45005</v>
      </c>
      <c r="AC34" s="1">
        <f t="shared" ref="AC34:AC57" si="40">DATEDIF(AA34, AB34, "d") + 1</f>
        <v>158</v>
      </c>
      <c r="AD34" s="1">
        <v>25</v>
      </c>
      <c r="AE34" s="1" t="s">
        <v>127</v>
      </c>
      <c r="AF34" s="1" t="str">
        <f t="shared" ref="AF34:AF57" si="41">IF(AE34="","Tidak ada",IF(OR(ISNUMBER(SEARCH("tidak",LOWER(AE34))), ISNUMBER(SEARCH("tak",LOWER(AE34)))),"Tidak ada","Ada"))</f>
        <v>Tidak ada</v>
      </c>
      <c r="AG34" s="1" t="s">
        <v>128</v>
      </c>
      <c r="AH34" s="1" t="str">
        <f t="shared" ref="AH34:AH57" si="42">IF(AG34="","Tidak ada",IF(OR(ISNUMBER(SEARCH("tidak",LOWER(AG34))), ISNUMBER(SEARCH("tak",LOWER(AG34)))),"Tidak ada","Ada"))</f>
        <v>Tidak ada</v>
      </c>
    </row>
    <row r="35" spans="1:34" ht="39.5" x14ac:dyDescent="0.35">
      <c r="A35" s="1">
        <v>54</v>
      </c>
      <c r="B35" s="1" t="s">
        <v>32</v>
      </c>
      <c r="C35" s="1" t="str">
        <f t="shared" si="22"/>
        <v>Ya</v>
      </c>
      <c r="D35" s="1" t="str">
        <f t="shared" si="23"/>
        <v>Tidak</v>
      </c>
      <c r="E35" s="1" t="str">
        <f t="shared" si="24"/>
        <v>Tidak</v>
      </c>
      <c r="F35" s="1" t="str">
        <f t="shared" si="25"/>
        <v>Tidak</v>
      </c>
      <c r="G35" s="1" t="str">
        <f t="shared" si="26"/>
        <v>Tidak</v>
      </c>
      <c r="H35" s="1" t="str">
        <f t="shared" si="27"/>
        <v>Tidak</v>
      </c>
      <c r="I35" s="1" t="str">
        <f t="shared" si="28"/>
        <v>Tidak</v>
      </c>
      <c r="J35" s="1" t="str">
        <f t="shared" si="29"/>
        <v>Tidak</v>
      </c>
      <c r="K35" s="1" t="str">
        <f t="shared" si="30"/>
        <v>Tidak</v>
      </c>
      <c r="L35" s="1" t="str">
        <f t="shared" si="31"/>
        <v>Tidak</v>
      </c>
      <c r="M35" s="1" t="str">
        <f t="shared" si="32"/>
        <v>Tidak</v>
      </c>
      <c r="N35" s="1" t="str">
        <f t="shared" si="33"/>
        <v>Tidak</v>
      </c>
      <c r="O35" s="1" t="str">
        <f t="shared" si="34"/>
        <v>Tidak</v>
      </c>
      <c r="P35" s="1" t="str">
        <f t="shared" si="35"/>
        <v>Tidak</v>
      </c>
      <c r="Q35" s="1" t="str">
        <f t="shared" si="36"/>
        <v>Tidak</v>
      </c>
      <c r="R35" s="1" t="str">
        <f t="shared" si="37"/>
        <v>Tidak</v>
      </c>
      <c r="S35" s="9" t="s">
        <v>129</v>
      </c>
      <c r="T35" s="1" t="str">
        <f t="shared" si="38"/>
        <v>IIIA</v>
      </c>
      <c r="U35" s="1" t="str">
        <f t="shared" si="21"/>
        <v>Tidak ada metastasis KGB Regional</v>
      </c>
      <c r="V35" s="1" t="s">
        <v>130</v>
      </c>
      <c r="W35" s="2" t="s">
        <v>227</v>
      </c>
      <c r="X35" s="1" t="s">
        <v>10</v>
      </c>
      <c r="Y35" s="1" t="str">
        <f t="shared" si="39"/>
        <v>&gt;2 cm - &lt;5cm</v>
      </c>
      <c r="Z35" s="1" t="s">
        <v>84</v>
      </c>
      <c r="AA35" s="9">
        <v>44917</v>
      </c>
      <c r="AB35" s="9">
        <v>45071</v>
      </c>
      <c r="AC35" s="1">
        <f t="shared" si="40"/>
        <v>155</v>
      </c>
      <c r="AD35" s="1">
        <v>30</v>
      </c>
      <c r="AE35" s="1" t="s">
        <v>131</v>
      </c>
      <c r="AF35" s="1" t="str">
        <f t="shared" si="41"/>
        <v>Tidak ada</v>
      </c>
      <c r="AG35" s="1" t="s">
        <v>132</v>
      </c>
      <c r="AH35" s="1" t="str">
        <f t="shared" si="42"/>
        <v>Tidak ada</v>
      </c>
    </row>
    <row r="36" spans="1:34" ht="39.5" x14ac:dyDescent="0.35">
      <c r="A36" s="1">
        <v>48</v>
      </c>
      <c r="B36" s="1" t="s">
        <v>107</v>
      </c>
      <c r="C36" s="1" t="str">
        <f t="shared" si="22"/>
        <v>Tidak</v>
      </c>
      <c r="D36" s="1" t="str">
        <f t="shared" si="23"/>
        <v>Tidak</v>
      </c>
      <c r="E36" s="1" t="str">
        <f t="shared" si="24"/>
        <v>Tidak</v>
      </c>
      <c r="F36" s="1" t="str">
        <f t="shared" si="25"/>
        <v>Ya</v>
      </c>
      <c r="G36" s="1" t="str">
        <f t="shared" si="26"/>
        <v>Tidak</v>
      </c>
      <c r="H36" s="1" t="str">
        <f t="shared" si="27"/>
        <v>Tidak</v>
      </c>
      <c r="I36" s="1" t="str">
        <f t="shared" si="28"/>
        <v>Tidak</v>
      </c>
      <c r="J36" s="1" t="str">
        <f t="shared" si="29"/>
        <v>Tidak</v>
      </c>
      <c r="K36" s="1" t="str">
        <f t="shared" si="30"/>
        <v>Tidak</v>
      </c>
      <c r="L36" s="1" t="str">
        <f t="shared" si="31"/>
        <v>Tidak</v>
      </c>
      <c r="M36" s="1" t="str">
        <f t="shared" si="32"/>
        <v>Tidak</v>
      </c>
      <c r="N36" s="1" t="str">
        <f t="shared" si="33"/>
        <v>Tidak</v>
      </c>
      <c r="O36" s="1" t="str">
        <f t="shared" si="34"/>
        <v>Tidak</v>
      </c>
      <c r="P36" s="1" t="str">
        <f t="shared" si="35"/>
        <v>Tidak</v>
      </c>
      <c r="Q36" s="1" t="str">
        <f t="shared" si="36"/>
        <v>Tidak</v>
      </c>
      <c r="R36" s="1" t="str">
        <f t="shared" si="37"/>
        <v>Tidak</v>
      </c>
      <c r="T36" s="1">
        <f t="shared" si="38"/>
        <v>0</v>
      </c>
      <c r="U36" s="1" t="str">
        <f t="shared" si="21"/>
        <v>Tidak ada metastasis KGB Regional</v>
      </c>
      <c r="V36" s="1" t="s">
        <v>133</v>
      </c>
      <c r="W36" s="2" t="s">
        <v>218</v>
      </c>
      <c r="X36" s="1" t="s">
        <v>58</v>
      </c>
      <c r="Y36" s="1" t="str">
        <f t="shared" si="39"/>
        <v>&lt;2 cm - 2 cm</v>
      </c>
      <c r="Z36" s="1" t="s">
        <v>84</v>
      </c>
      <c r="AA36" s="9">
        <v>44904</v>
      </c>
      <c r="AB36" s="9">
        <v>45063</v>
      </c>
      <c r="AC36" s="1">
        <f t="shared" si="40"/>
        <v>160</v>
      </c>
      <c r="AD36" s="1">
        <v>30</v>
      </c>
      <c r="AE36" s="1" t="s">
        <v>134</v>
      </c>
      <c r="AF36" s="1" t="str">
        <f t="shared" si="41"/>
        <v>Tidak ada</v>
      </c>
      <c r="AG36" s="1"/>
      <c r="AH36" s="1" t="str">
        <f t="shared" si="42"/>
        <v>Tidak ada</v>
      </c>
    </row>
    <row r="37" spans="1:34" ht="39.5" x14ac:dyDescent="0.35">
      <c r="A37" s="1">
        <v>58</v>
      </c>
      <c r="B37" s="1"/>
      <c r="C37" s="1" t="str">
        <f t="shared" si="22"/>
        <v>Tidak</v>
      </c>
      <c r="D37" s="1" t="str">
        <f t="shared" si="23"/>
        <v>Tidak</v>
      </c>
      <c r="E37" s="1" t="str">
        <f t="shared" si="24"/>
        <v>Tidak</v>
      </c>
      <c r="F37" s="1" t="str">
        <f t="shared" si="25"/>
        <v>Tidak</v>
      </c>
      <c r="G37" s="1" t="str">
        <f t="shared" si="26"/>
        <v>Tidak</v>
      </c>
      <c r="H37" s="1" t="str">
        <f t="shared" si="27"/>
        <v>Tidak</v>
      </c>
      <c r="I37" s="1" t="str">
        <f t="shared" si="28"/>
        <v>Tidak</v>
      </c>
      <c r="J37" s="1" t="str">
        <f t="shared" si="29"/>
        <v>Tidak</v>
      </c>
      <c r="K37" s="1" t="str">
        <f t="shared" si="30"/>
        <v>Tidak</v>
      </c>
      <c r="L37" s="1" t="str">
        <f t="shared" si="31"/>
        <v>Tidak</v>
      </c>
      <c r="M37" s="1" t="str">
        <f t="shared" si="32"/>
        <v>Tidak</v>
      </c>
      <c r="N37" s="1" t="str">
        <f t="shared" si="33"/>
        <v>Tidak</v>
      </c>
      <c r="O37" s="1" t="str">
        <f t="shared" si="34"/>
        <v>Tidak</v>
      </c>
      <c r="P37" s="1" t="str">
        <f t="shared" si="35"/>
        <v>Tidak</v>
      </c>
      <c r="Q37" s="1" t="str">
        <f t="shared" si="36"/>
        <v>Tidak</v>
      </c>
      <c r="R37" s="1" t="str">
        <f t="shared" si="37"/>
        <v>Tidak</v>
      </c>
      <c r="S37" s="9" t="s">
        <v>135</v>
      </c>
      <c r="T37" s="1" t="str">
        <f t="shared" si="38"/>
        <v>IA</v>
      </c>
      <c r="U37" s="1" t="str">
        <f t="shared" si="21"/>
        <v>1-3 KGB aksila</v>
      </c>
      <c r="V37" s="1" t="s">
        <v>136</v>
      </c>
      <c r="W37" s="2" t="s">
        <v>223</v>
      </c>
      <c r="X37" s="1" t="s">
        <v>58</v>
      </c>
      <c r="Y37" s="1" t="str">
        <f t="shared" si="39"/>
        <v>&lt;2 cm - 2 cm</v>
      </c>
      <c r="Z37" s="1" t="s">
        <v>84</v>
      </c>
      <c r="AA37" s="9">
        <v>44939</v>
      </c>
      <c r="AB37" s="9">
        <v>44939</v>
      </c>
      <c r="AC37" s="1">
        <f t="shared" si="40"/>
        <v>1</v>
      </c>
      <c r="AD37" s="1">
        <v>25</v>
      </c>
      <c r="AE37" s="1" t="s">
        <v>137</v>
      </c>
      <c r="AF37" s="1" t="str">
        <f t="shared" si="41"/>
        <v>Tidak ada</v>
      </c>
      <c r="AG37" s="1" t="s">
        <v>138</v>
      </c>
      <c r="AH37" s="1" t="str">
        <f t="shared" si="42"/>
        <v>Tidak ada</v>
      </c>
    </row>
    <row r="38" spans="1:34" ht="39.5" x14ac:dyDescent="0.35">
      <c r="A38" s="1">
        <v>36</v>
      </c>
      <c r="B38" s="1"/>
      <c r="C38" s="1" t="str">
        <f t="shared" si="22"/>
        <v>Tidak</v>
      </c>
      <c r="D38" s="1" t="str">
        <f t="shared" si="23"/>
        <v>Tidak</v>
      </c>
      <c r="E38" s="1" t="str">
        <f t="shared" si="24"/>
        <v>Tidak</v>
      </c>
      <c r="F38" s="1" t="str">
        <f t="shared" si="25"/>
        <v>Tidak</v>
      </c>
      <c r="G38" s="1" t="str">
        <f t="shared" si="26"/>
        <v>Tidak</v>
      </c>
      <c r="H38" s="1" t="str">
        <f t="shared" si="27"/>
        <v>Tidak</v>
      </c>
      <c r="I38" s="1" t="str">
        <f t="shared" si="28"/>
        <v>Tidak</v>
      </c>
      <c r="J38" s="1" t="str">
        <f t="shared" si="29"/>
        <v>Tidak</v>
      </c>
      <c r="K38" s="1" t="str">
        <f t="shared" si="30"/>
        <v>Tidak</v>
      </c>
      <c r="L38" s="1" t="str">
        <f t="shared" si="31"/>
        <v>Tidak</v>
      </c>
      <c r="M38" s="1" t="str">
        <f t="shared" si="32"/>
        <v>Tidak</v>
      </c>
      <c r="N38" s="1" t="str">
        <f t="shared" si="33"/>
        <v>Tidak</v>
      </c>
      <c r="O38" s="1" t="str">
        <f t="shared" si="34"/>
        <v>Tidak</v>
      </c>
      <c r="P38" s="1" t="str">
        <f t="shared" si="35"/>
        <v>Tidak</v>
      </c>
      <c r="Q38" s="1" t="str">
        <f t="shared" si="36"/>
        <v>Tidak</v>
      </c>
      <c r="R38" s="1" t="str">
        <f t="shared" si="37"/>
        <v>Tidak</v>
      </c>
      <c r="S38" s="9" t="s">
        <v>139</v>
      </c>
      <c r="T38" s="1" t="str">
        <f t="shared" si="38"/>
        <v>IIIC</v>
      </c>
      <c r="U38" s="1" t="str">
        <f t="shared" si="21"/>
        <v>&gt;10 KGB aksila atau infraklavikula</v>
      </c>
      <c r="V38" s="1" t="s">
        <v>140</v>
      </c>
      <c r="W38" s="2" t="s">
        <v>223</v>
      </c>
      <c r="X38" s="1" t="s">
        <v>17</v>
      </c>
      <c r="Y38" s="1" t="str">
        <f t="shared" si="39"/>
        <v>&gt;5cm</v>
      </c>
      <c r="Z38" s="1" t="s">
        <v>84</v>
      </c>
      <c r="AA38" s="9">
        <v>44936</v>
      </c>
      <c r="AB38" s="9">
        <v>45107</v>
      </c>
      <c r="AC38" s="1">
        <f t="shared" si="40"/>
        <v>172</v>
      </c>
      <c r="AD38" s="1">
        <v>30</v>
      </c>
      <c r="AE38" s="1" t="s">
        <v>141</v>
      </c>
      <c r="AF38" s="1" t="str">
        <f t="shared" si="41"/>
        <v>Tidak ada</v>
      </c>
      <c r="AG38" s="1" t="s">
        <v>142</v>
      </c>
      <c r="AH38" s="1" t="str">
        <f t="shared" si="42"/>
        <v>Tidak ada</v>
      </c>
    </row>
    <row r="39" spans="1:34" ht="39.5" x14ac:dyDescent="0.35">
      <c r="A39" s="1">
        <v>65</v>
      </c>
      <c r="B39" s="1"/>
      <c r="C39" s="1" t="str">
        <f t="shared" si="22"/>
        <v>Tidak</v>
      </c>
      <c r="D39" s="1" t="str">
        <f t="shared" si="23"/>
        <v>Tidak</v>
      </c>
      <c r="E39" s="1" t="str">
        <f t="shared" si="24"/>
        <v>Tidak</v>
      </c>
      <c r="F39" s="1" t="str">
        <f t="shared" si="25"/>
        <v>Tidak</v>
      </c>
      <c r="G39" s="1" t="str">
        <f t="shared" si="26"/>
        <v>Tidak</v>
      </c>
      <c r="H39" s="1" t="str">
        <f t="shared" si="27"/>
        <v>Tidak</v>
      </c>
      <c r="I39" s="1" t="str">
        <f t="shared" si="28"/>
        <v>Tidak</v>
      </c>
      <c r="J39" s="1" t="str">
        <f t="shared" si="29"/>
        <v>Tidak</v>
      </c>
      <c r="K39" s="1" t="str">
        <f t="shared" si="30"/>
        <v>Tidak</v>
      </c>
      <c r="L39" s="1" t="str">
        <f t="shared" si="31"/>
        <v>Tidak</v>
      </c>
      <c r="M39" s="1" t="str">
        <f t="shared" si="32"/>
        <v>Tidak</v>
      </c>
      <c r="N39" s="1" t="str">
        <f t="shared" si="33"/>
        <v>Tidak</v>
      </c>
      <c r="O39" s="1" t="str">
        <f t="shared" si="34"/>
        <v>Tidak</v>
      </c>
      <c r="P39" s="1" t="str">
        <f t="shared" si="35"/>
        <v>Tidak</v>
      </c>
      <c r="Q39" s="1" t="str">
        <f t="shared" si="36"/>
        <v>Tidak</v>
      </c>
      <c r="R39" s="1" t="str">
        <f t="shared" si="37"/>
        <v>Tidak</v>
      </c>
      <c r="S39" s="9" t="s">
        <v>114</v>
      </c>
      <c r="T39" s="1" t="str">
        <f t="shared" si="38"/>
        <v>IIIA</v>
      </c>
      <c r="U39" s="1" t="str">
        <f t="shared" si="21"/>
        <v>Metastasis pada KGB aksila ipsilateral</v>
      </c>
      <c r="V39" s="1" t="s">
        <v>115</v>
      </c>
      <c r="W39" s="2" t="s">
        <v>230</v>
      </c>
      <c r="X39" s="1" t="s">
        <v>17</v>
      </c>
      <c r="Y39" s="1" t="str">
        <f t="shared" si="39"/>
        <v>&gt;5cm</v>
      </c>
      <c r="Z39" s="1" t="s">
        <v>11</v>
      </c>
      <c r="AA39" s="9">
        <v>44936</v>
      </c>
      <c r="AB39" s="9">
        <v>45107</v>
      </c>
      <c r="AC39" s="1">
        <f t="shared" si="40"/>
        <v>172</v>
      </c>
      <c r="AD39" s="1">
        <v>30</v>
      </c>
      <c r="AE39" s="1" t="s">
        <v>143</v>
      </c>
      <c r="AF39" s="1" t="str">
        <f t="shared" si="41"/>
        <v>Tidak ada</v>
      </c>
      <c r="AG39" s="1" t="s">
        <v>144</v>
      </c>
      <c r="AH39" s="1" t="str">
        <f t="shared" si="42"/>
        <v>Tidak ada</v>
      </c>
    </row>
    <row r="40" spans="1:34" ht="26.5" x14ac:dyDescent="0.35">
      <c r="A40" s="1">
        <v>50</v>
      </c>
      <c r="B40" s="1"/>
      <c r="C40" s="1" t="str">
        <f t="shared" si="22"/>
        <v>Tidak</v>
      </c>
      <c r="D40" s="1" t="str">
        <f t="shared" si="23"/>
        <v>Tidak</v>
      </c>
      <c r="E40" s="1" t="str">
        <f t="shared" si="24"/>
        <v>Tidak</v>
      </c>
      <c r="F40" s="1" t="str">
        <f t="shared" si="25"/>
        <v>Tidak</v>
      </c>
      <c r="G40" s="1" t="str">
        <f t="shared" si="26"/>
        <v>Tidak</v>
      </c>
      <c r="H40" s="1" t="str">
        <f t="shared" si="27"/>
        <v>Tidak</v>
      </c>
      <c r="I40" s="1" t="str">
        <f t="shared" si="28"/>
        <v>Tidak</v>
      </c>
      <c r="J40" s="1" t="str">
        <f t="shared" si="29"/>
        <v>Tidak</v>
      </c>
      <c r="K40" s="1" t="str">
        <f t="shared" si="30"/>
        <v>Tidak</v>
      </c>
      <c r="L40" s="1" t="str">
        <f t="shared" si="31"/>
        <v>Tidak</v>
      </c>
      <c r="M40" s="1" t="str">
        <f t="shared" si="32"/>
        <v>Tidak</v>
      </c>
      <c r="N40" s="1" t="str">
        <f t="shared" si="33"/>
        <v>Tidak</v>
      </c>
      <c r="O40" s="1" t="str">
        <f t="shared" si="34"/>
        <v>Tidak</v>
      </c>
      <c r="P40" s="1" t="str">
        <f t="shared" si="35"/>
        <v>Tidak</v>
      </c>
      <c r="Q40" s="1" t="str">
        <f t="shared" si="36"/>
        <v>Tidak</v>
      </c>
      <c r="R40" s="1" t="str">
        <f t="shared" si="37"/>
        <v>Tidak</v>
      </c>
      <c r="S40" s="9" t="s">
        <v>145</v>
      </c>
      <c r="T40" s="1" t="str">
        <f t="shared" si="38"/>
        <v>IA</v>
      </c>
      <c r="U40" s="1" t="str">
        <f t="shared" si="21"/>
        <v>Tidak ada metastasis KGB Regional</v>
      </c>
      <c r="V40" s="1" t="s">
        <v>146</v>
      </c>
      <c r="W40" s="2" t="s">
        <v>228</v>
      </c>
      <c r="X40" s="1" t="s">
        <v>58</v>
      </c>
      <c r="Y40" s="1" t="str">
        <f t="shared" si="39"/>
        <v>&lt;2 cm - 2 cm</v>
      </c>
      <c r="Z40" s="1" t="s">
        <v>80</v>
      </c>
      <c r="AA40" s="9">
        <v>44972</v>
      </c>
      <c r="AB40" s="9">
        <v>45090</v>
      </c>
      <c r="AC40" s="1">
        <f t="shared" si="40"/>
        <v>119</v>
      </c>
      <c r="AD40" s="1">
        <v>25</v>
      </c>
      <c r="AE40" s="1" t="s">
        <v>147</v>
      </c>
      <c r="AF40" s="1" t="str">
        <f t="shared" si="41"/>
        <v>Tidak ada</v>
      </c>
      <c r="AG40" s="1" t="s">
        <v>148</v>
      </c>
      <c r="AH40" s="1" t="str">
        <f t="shared" si="42"/>
        <v>Tidak ada</v>
      </c>
    </row>
    <row r="41" spans="1:34" ht="39.5" x14ac:dyDescent="0.35">
      <c r="A41" s="1">
        <v>55</v>
      </c>
      <c r="B41" s="1"/>
      <c r="C41" s="1" t="str">
        <f t="shared" si="22"/>
        <v>Tidak</v>
      </c>
      <c r="D41" s="1" t="str">
        <f t="shared" si="23"/>
        <v>Tidak</v>
      </c>
      <c r="E41" s="1" t="str">
        <f t="shared" si="24"/>
        <v>Tidak</v>
      </c>
      <c r="F41" s="1" t="str">
        <f t="shared" si="25"/>
        <v>Tidak</v>
      </c>
      <c r="G41" s="1" t="str">
        <f t="shared" si="26"/>
        <v>Tidak</v>
      </c>
      <c r="H41" s="1" t="str">
        <f t="shared" si="27"/>
        <v>Tidak</v>
      </c>
      <c r="I41" s="1" t="str">
        <f t="shared" si="28"/>
        <v>Tidak</v>
      </c>
      <c r="J41" s="1" t="str">
        <f t="shared" si="29"/>
        <v>Tidak</v>
      </c>
      <c r="K41" s="1" t="str">
        <f t="shared" si="30"/>
        <v>Tidak</v>
      </c>
      <c r="L41" s="1" t="str">
        <f t="shared" si="31"/>
        <v>Tidak</v>
      </c>
      <c r="M41" s="1" t="str">
        <f t="shared" si="32"/>
        <v>Tidak</v>
      </c>
      <c r="N41" s="1" t="str">
        <f t="shared" si="33"/>
        <v>Tidak</v>
      </c>
      <c r="O41" s="1" t="str">
        <f t="shared" si="34"/>
        <v>Tidak</v>
      </c>
      <c r="P41" s="1" t="str">
        <f t="shared" si="35"/>
        <v>Tidak</v>
      </c>
      <c r="Q41" s="1" t="str">
        <f t="shared" si="36"/>
        <v>Tidak</v>
      </c>
      <c r="R41" s="1" t="str">
        <f t="shared" si="37"/>
        <v>Tidak</v>
      </c>
      <c r="S41" s="9" t="s">
        <v>149</v>
      </c>
      <c r="T41" s="1" t="str">
        <f t="shared" si="38"/>
        <v>IIB</v>
      </c>
      <c r="U41" s="1" t="str">
        <f t="shared" si="21"/>
        <v>1-3 KGB aksila</v>
      </c>
      <c r="V41" s="1" t="s">
        <v>150</v>
      </c>
      <c r="W41" s="2" t="s">
        <v>223</v>
      </c>
      <c r="X41" s="1" t="s">
        <v>17</v>
      </c>
      <c r="Y41" s="1" t="str">
        <f t="shared" si="39"/>
        <v>&gt;5cm</v>
      </c>
      <c r="Z41" s="1" t="s">
        <v>80</v>
      </c>
      <c r="AA41" s="9">
        <v>44880</v>
      </c>
      <c r="AB41" s="9">
        <v>44985</v>
      </c>
      <c r="AC41" s="1">
        <f t="shared" si="40"/>
        <v>106</v>
      </c>
      <c r="AD41" s="1">
        <v>30</v>
      </c>
      <c r="AE41" s="1" t="s">
        <v>151</v>
      </c>
      <c r="AF41" s="1" t="str">
        <f t="shared" si="41"/>
        <v>Tidak ada</v>
      </c>
      <c r="AG41" s="1" t="s">
        <v>152</v>
      </c>
      <c r="AH41" s="1" t="str">
        <f t="shared" si="42"/>
        <v>Tidak ada</v>
      </c>
    </row>
    <row r="42" spans="1:34" ht="39.5" x14ac:dyDescent="0.35">
      <c r="A42" s="1">
        <v>59</v>
      </c>
      <c r="B42" s="1"/>
      <c r="C42" s="1" t="str">
        <f t="shared" si="22"/>
        <v>Tidak</v>
      </c>
      <c r="D42" s="1" t="str">
        <f t="shared" si="23"/>
        <v>Tidak</v>
      </c>
      <c r="E42" s="1" t="str">
        <f t="shared" si="24"/>
        <v>Tidak</v>
      </c>
      <c r="F42" s="1" t="str">
        <f t="shared" si="25"/>
        <v>Tidak</v>
      </c>
      <c r="G42" s="1" t="str">
        <f t="shared" si="26"/>
        <v>Tidak</v>
      </c>
      <c r="H42" s="1" t="str">
        <f t="shared" si="27"/>
        <v>Tidak</v>
      </c>
      <c r="I42" s="1" t="str">
        <f t="shared" si="28"/>
        <v>Tidak</v>
      </c>
      <c r="J42" s="1" t="str">
        <f t="shared" si="29"/>
        <v>Tidak</v>
      </c>
      <c r="K42" s="1" t="str">
        <f t="shared" si="30"/>
        <v>Tidak</v>
      </c>
      <c r="L42" s="1" t="str">
        <f t="shared" si="31"/>
        <v>Tidak</v>
      </c>
      <c r="M42" s="1" t="str">
        <f t="shared" si="32"/>
        <v>Tidak</v>
      </c>
      <c r="N42" s="1" t="str">
        <f t="shared" si="33"/>
        <v>Tidak</v>
      </c>
      <c r="O42" s="1" t="str">
        <f t="shared" si="34"/>
        <v>Tidak</v>
      </c>
      <c r="P42" s="1" t="str">
        <f t="shared" si="35"/>
        <v>Tidak</v>
      </c>
      <c r="Q42" s="1" t="str">
        <f t="shared" si="36"/>
        <v>Tidak</v>
      </c>
      <c r="R42" s="1" t="str">
        <f t="shared" si="37"/>
        <v>Tidak</v>
      </c>
      <c r="S42" s="9" t="s">
        <v>75</v>
      </c>
      <c r="T42" s="1" t="str">
        <f t="shared" si="38"/>
        <v>IIB</v>
      </c>
      <c r="U42" s="1" t="str">
        <f t="shared" si="21"/>
        <v>Tidak ada metastasis KGB Regional</v>
      </c>
      <c r="V42" s="1" t="s">
        <v>153</v>
      </c>
      <c r="W42" s="2" t="s">
        <v>223</v>
      </c>
      <c r="X42" s="1" t="s">
        <v>17</v>
      </c>
      <c r="Y42" s="1" t="str">
        <f t="shared" si="39"/>
        <v>&gt;5cm</v>
      </c>
      <c r="Z42" s="1" t="s">
        <v>11</v>
      </c>
      <c r="AA42" s="9">
        <v>44988</v>
      </c>
      <c r="AB42" s="9">
        <v>45124</v>
      </c>
      <c r="AC42" s="1">
        <f t="shared" si="40"/>
        <v>137</v>
      </c>
      <c r="AD42" s="1">
        <v>25</v>
      </c>
      <c r="AE42" s="1" t="s">
        <v>154</v>
      </c>
      <c r="AF42" s="1" t="str">
        <f t="shared" si="41"/>
        <v>Tidak ada</v>
      </c>
      <c r="AG42" s="1" t="s">
        <v>155</v>
      </c>
      <c r="AH42" s="1" t="str">
        <f t="shared" si="42"/>
        <v>Tidak ada</v>
      </c>
    </row>
    <row r="43" spans="1:34" ht="39.5" x14ac:dyDescent="0.35">
      <c r="A43" s="1">
        <v>47</v>
      </c>
      <c r="B43" s="1"/>
      <c r="C43" s="1" t="str">
        <f t="shared" si="22"/>
        <v>Tidak</v>
      </c>
      <c r="D43" s="1" t="str">
        <f t="shared" si="23"/>
        <v>Tidak</v>
      </c>
      <c r="E43" s="1" t="str">
        <f t="shared" si="24"/>
        <v>Tidak</v>
      </c>
      <c r="F43" s="1" t="str">
        <f t="shared" si="25"/>
        <v>Tidak</v>
      </c>
      <c r="G43" s="1" t="str">
        <f t="shared" si="26"/>
        <v>Tidak</v>
      </c>
      <c r="H43" s="1" t="str">
        <f t="shared" si="27"/>
        <v>Tidak</v>
      </c>
      <c r="I43" s="1" t="str">
        <f t="shared" si="28"/>
        <v>Tidak</v>
      </c>
      <c r="J43" s="1" t="str">
        <f t="shared" si="29"/>
        <v>Tidak</v>
      </c>
      <c r="K43" s="1" t="str">
        <f t="shared" si="30"/>
        <v>Tidak</v>
      </c>
      <c r="L43" s="1" t="str">
        <f t="shared" si="31"/>
        <v>Tidak</v>
      </c>
      <c r="M43" s="1" t="str">
        <f t="shared" si="32"/>
        <v>Tidak</v>
      </c>
      <c r="N43" s="1" t="str">
        <f t="shared" si="33"/>
        <v>Tidak</v>
      </c>
      <c r="O43" s="1" t="str">
        <f t="shared" si="34"/>
        <v>Tidak</v>
      </c>
      <c r="P43" s="1" t="str">
        <f t="shared" si="35"/>
        <v>Tidak</v>
      </c>
      <c r="Q43" s="1" t="str">
        <f t="shared" si="36"/>
        <v>Tidak</v>
      </c>
      <c r="R43" s="1" t="str">
        <f t="shared" si="37"/>
        <v>Tidak</v>
      </c>
      <c r="S43" s="9" t="s">
        <v>156</v>
      </c>
      <c r="T43" s="1" t="str">
        <f t="shared" si="38"/>
        <v>IIIC</v>
      </c>
      <c r="U43" s="1" t="str">
        <f t="shared" si="21"/>
        <v>Metastasis pada KGB infraklavikula ipsilateral</v>
      </c>
      <c r="V43" s="1" t="s">
        <v>157</v>
      </c>
      <c r="W43" s="2" t="s">
        <v>223</v>
      </c>
      <c r="X43" s="1" t="s">
        <v>17</v>
      </c>
      <c r="Y43" s="1" t="str">
        <f t="shared" si="39"/>
        <v>&gt;5cm</v>
      </c>
      <c r="Z43" s="1" t="s">
        <v>11</v>
      </c>
      <c r="AA43" s="9">
        <v>45169</v>
      </c>
      <c r="AB43" s="9">
        <v>45253</v>
      </c>
      <c r="AC43" s="1">
        <f t="shared" si="40"/>
        <v>85</v>
      </c>
      <c r="AD43" s="1">
        <v>30</v>
      </c>
      <c r="AE43" s="1" t="s">
        <v>158</v>
      </c>
      <c r="AF43" s="1" t="str">
        <f t="shared" si="41"/>
        <v>Tidak ada</v>
      </c>
      <c r="AG43" s="1" t="s">
        <v>159</v>
      </c>
      <c r="AH43" s="1" t="str">
        <f t="shared" si="42"/>
        <v>Tidak ada</v>
      </c>
    </row>
    <row r="44" spans="1:34" ht="26.5" x14ac:dyDescent="0.35">
      <c r="A44" s="1">
        <v>66</v>
      </c>
      <c r="B44" s="1"/>
      <c r="C44" s="1" t="str">
        <f t="shared" si="22"/>
        <v>Tidak</v>
      </c>
      <c r="D44" s="1" t="str">
        <f t="shared" si="23"/>
        <v>Tidak</v>
      </c>
      <c r="E44" s="1" t="str">
        <f t="shared" si="24"/>
        <v>Tidak</v>
      </c>
      <c r="F44" s="1" t="str">
        <f t="shared" si="25"/>
        <v>Tidak</v>
      </c>
      <c r="G44" s="1" t="str">
        <f t="shared" si="26"/>
        <v>Tidak</v>
      </c>
      <c r="H44" s="1" t="str">
        <f t="shared" si="27"/>
        <v>Tidak</v>
      </c>
      <c r="I44" s="1" t="str">
        <f t="shared" si="28"/>
        <v>Tidak</v>
      </c>
      <c r="J44" s="1" t="str">
        <f t="shared" si="29"/>
        <v>Tidak</v>
      </c>
      <c r="K44" s="1" t="str">
        <f t="shared" si="30"/>
        <v>Tidak</v>
      </c>
      <c r="L44" s="1" t="str">
        <f t="shared" si="31"/>
        <v>Tidak</v>
      </c>
      <c r="M44" s="1" t="str">
        <f t="shared" si="32"/>
        <v>Tidak</v>
      </c>
      <c r="N44" s="1" t="str">
        <f t="shared" si="33"/>
        <v>Tidak</v>
      </c>
      <c r="O44" s="1" t="str">
        <f t="shared" si="34"/>
        <v>Tidak</v>
      </c>
      <c r="P44" s="1" t="str">
        <f t="shared" si="35"/>
        <v>Tidak</v>
      </c>
      <c r="Q44" s="1" t="str">
        <f t="shared" si="36"/>
        <v>Tidak</v>
      </c>
      <c r="R44" s="1" t="str">
        <f t="shared" si="37"/>
        <v>Tidak</v>
      </c>
      <c r="S44" s="9" t="s">
        <v>160</v>
      </c>
      <c r="T44" s="1" t="str">
        <f t="shared" si="38"/>
        <v>IIIA</v>
      </c>
      <c r="U44" s="1" t="str">
        <f t="shared" si="21"/>
        <v>1-3 KGB aksila</v>
      </c>
      <c r="V44" s="1" t="s">
        <v>150</v>
      </c>
      <c r="W44" s="2" t="s">
        <v>228</v>
      </c>
      <c r="X44" s="1" t="s">
        <v>17</v>
      </c>
      <c r="Y44" s="1" t="str">
        <f t="shared" si="39"/>
        <v>&gt;5cm</v>
      </c>
      <c r="Z44" s="1" t="s">
        <v>84</v>
      </c>
      <c r="AA44" s="9">
        <v>45232</v>
      </c>
      <c r="AB44" s="9">
        <v>45232</v>
      </c>
      <c r="AC44" s="1">
        <f t="shared" si="40"/>
        <v>1</v>
      </c>
      <c r="AD44" s="1">
        <v>30</v>
      </c>
      <c r="AE44" s="1" t="s">
        <v>161</v>
      </c>
      <c r="AF44" s="1" t="str">
        <f t="shared" si="41"/>
        <v>Tidak ada</v>
      </c>
      <c r="AG44" s="1" t="s">
        <v>162</v>
      </c>
      <c r="AH44" s="1" t="str">
        <f t="shared" si="42"/>
        <v>Tidak ada</v>
      </c>
    </row>
    <row r="45" spans="1:34" ht="39.5" x14ac:dyDescent="0.35">
      <c r="A45" s="1">
        <v>66</v>
      </c>
      <c r="B45" s="1"/>
      <c r="C45" s="1" t="str">
        <f t="shared" si="22"/>
        <v>Tidak</v>
      </c>
      <c r="D45" s="1" t="str">
        <f t="shared" si="23"/>
        <v>Tidak</v>
      </c>
      <c r="E45" s="1" t="str">
        <f t="shared" si="24"/>
        <v>Tidak</v>
      </c>
      <c r="F45" s="1" t="str">
        <f t="shared" si="25"/>
        <v>Tidak</v>
      </c>
      <c r="G45" s="1" t="str">
        <f t="shared" si="26"/>
        <v>Tidak</v>
      </c>
      <c r="H45" s="1" t="str">
        <f t="shared" si="27"/>
        <v>Tidak</v>
      </c>
      <c r="I45" s="1" t="str">
        <f t="shared" si="28"/>
        <v>Tidak</v>
      </c>
      <c r="J45" s="1" t="str">
        <f t="shared" si="29"/>
        <v>Tidak</v>
      </c>
      <c r="K45" s="1" t="str">
        <f t="shared" si="30"/>
        <v>Tidak</v>
      </c>
      <c r="L45" s="1" t="str">
        <f t="shared" si="31"/>
        <v>Tidak</v>
      </c>
      <c r="M45" s="1" t="str">
        <f t="shared" si="32"/>
        <v>Tidak</v>
      </c>
      <c r="N45" s="1" t="str">
        <f t="shared" si="33"/>
        <v>Tidak</v>
      </c>
      <c r="O45" s="1" t="str">
        <f t="shared" si="34"/>
        <v>Tidak</v>
      </c>
      <c r="P45" s="1" t="str">
        <f t="shared" si="35"/>
        <v>Tidak</v>
      </c>
      <c r="Q45" s="1" t="str">
        <f t="shared" si="36"/>
        <v>Tidak</v>
      </c>
      <c r="R45" s="1" t="str">
        <f t="shared" si="37"/>
        <v>Tidak</v>
      </c>
      <c r="S45" s="9" t="s">
        <v>163</v>
      </c>
      <c r="T45" s="1" t="str">
        <f t="shared" si="38"/>
        <v>IIA</v>
      </c>
      <c r="U45" s="1" t="str">
        <f t="shared" si="21"/>
        <v>1-3 KGB aksila</v>
      </c>
      <c r="V45" s="1" t="s">
        <v>164</v>
      </c>
      <c r="W45" s="2" t="s">
        <v>221</v>
      </c>
      <c r="X45" s="1" t="s">
        <v>58</v>
      </c>
      <c r="Y45" s="1" t="str">
        <f t="shared" si="39"/>
        <v>&lt;2 cm - 2 cm</v>
      </c>
      <c r="Z45" s="1" t="s">
        <v>84</v>
      </c>
      <c r="AA45" s="9">
        <v>45183</v>
      </c>
      <c r="AB45" s="9">
        <v>45299</v>
      </c>
      <c r="AC45" s="1">
        <f t="shared" si="40"/>
        <v>117</v>
      </c>
      <c r="AD45" s="1">
        <v>25</v>
      </c>
      <c r="AE45" s="1" t="s">
        <v>165</v>
      </c>
      <c r="AF45" s="1" t="str">
        <f t="shared" si="41"/>
        <v>Tidak ada</v>
      </c>
      <c r="AG45" s="1" t="s">
        <v>166</v>
      </c>
      <c r="AH45" s="1" t="str">
        <f t="shared" si="42"/>
        <v>Tidak ada</v>
      </c>
    </row>
    <row r="46" spans="1:34" ht="39.5" x14ac:dyDescent="0.35">
      <c r="A46" s="1">
        <v>44</v>
      </c>
      <c r="B46" s="1"/>
      <c r="C46" s="1" t="str">
        <f t="shared" si="22"/>
        <v>Tidak</v>
      </c>
      <c r="D46" s="1" t="str">
        <f t="shared" si="23"/>
        <v>Tidak</v>
      </c>
      <c r="E46" s="1" t="str">
        <f t="shared" si="24"/>
        <v>Tidak</v>
      </c>
      <c r="F46" s="1" t="str">
        <f t="shared" si="25"/>
        <v>Tidak</v>
      </c>
      <c r="G46" s="1" t="str">
        <f t="shared" si="26"/>
        <v>Tidak</v>
      </c>
      <c r="H46" s="1" t="str">
        <f t="shared" si="27"/>
        <v>Tidak</v>
      </c>
      <c r="I46" s="1" t="str">
        <f t="shared" si="28"/>
        <v>Tidak</v>
      </c>
      <c r="J46" s="1" t="str">
        <f t="shared" si="29"/>
        <v>Tidak</v>
      </c>
      <c r="K46" s="1" t="str">
        <f t="shared" si="30"/>
        <v>Tidak</v>
      </c>
      <c r="L46" s="1" t="str">
        <f t="shared" si="31"/>
        <v>Tidak</v>
      </c>
      <c r="M46" s="1" t="str">
        <f t="shared" si="32"/>
        <v>Tidak</v>
      </c>
      <c r="N46" s="1" t="str">
        <f t="shared" si="33"/>
        <v>Tidak</v>
      </c>
      <c r="O46" s="1" t="str">
        <f t="shared" si="34"/>
        <v>Tidak</v>
      </c>
      <c r="P46" s="1" t="str">
        <f t="shared" si="35"/>
        <v>Tidak</v>
      </c>
      <c r="Q46" s="1" t="str">
        <f t="shared" si="36"/>
        <v>Tidak</v>
      </c>
      <c r="R46" s="1" t="str">
        <f t="shared" si="37"/>
        <v>Tidak</v>
      </c>
      <c r="S46" s="9" t="s">
        <v>118</v>
      </c>
      <c r="T46" s="1" t="str">
        <f t="shared" si="38"/>
        <v>IIIA</v>
      </c>
      <c r="U46" s="1" t="str">
        <f t="shared" si="21"/>
        <v>4-9 KGB aksila</v>
      </c>
      <c r="V46" s="1" t="s">
        <v>167</v>
      </c>
      <c r="W46" s="2" t="s">
        <v>218</v>
      </c>
      <c r="X46" s="1" t="s">
        <v>17</v>
      </c>
      <c r="Y46" s="1" t="str">
        <f t="shared" si="39"/>
        <v>&gt;5cm</v>
      </c>
      <c r="Z46" s="1" t="s">
        <v>84</v>
      </c>
      <c r="AA46" s="9">
        <v>45149</v>
      </c>
      <c r="AB46" s="9">
        <v>45296</v>
      </c>
      <c r="AC46" s="1">
        <f t="shared" si="40"/>
        <v>148</v>
      </c>
      <c r="AD46" s="1">
        <v>25</v>
      </c>
      <c r="AE46" s="1" t="s">
        <v>168</v>
      </c>
      <c r="AF46" s="1" t="str">
        <f t="shared" si="41"/>
        <v>Tidak ada</v>
      </c>
      <c r="AG46" s="1" t="s">
        <v>169</v>
      </c>
      <c r="AH46" s="1" t="str">
        <f t="shared" si="42"/>
        <v>Tidak ada</v>
      </c>
    </row>
    <row r="47" spans="1:34" ht="39.5" x14ac:dyDescent="0.35">
      <c r="A47" s="1">
        <v>58</v>
      </c>
      <c r="B47" s="1"/>
      <c r="C47" s="1" t="str">
        <f t="shared" si="22"/>
        <v>Tidak</v>
      </c>
      <c r="D47" s="1" t="str">
        <f t="shared" si="23"/>
        <v>Tidak</v>
      </c>
      <c r="E47" s="1" t="str">
        <f t="shared" si="24"/>
        <v>Tidak</v>
      </c>
      <c r="F47" s="1" t="str">
        <f t="shared" si="25"/>
        <v>Tidak</v>
      </c>
      <c r="G47" s="1" t="str">
        <f t="shared" si="26"/>
        <v>Tidak</v>
      </c>
      <c r="H47" s="1" t="str">
        <f t="shared" si="27"/>
        <v>Tidak</v>
      </c>
      <c r="I47" s="1" t="str">
        <f t="shared" si="28"/>
        <v>Tidak</v>
      </c>
      <c r="J47" s="1" t="str">
        <f t="shared" si="29"/>
        <v>Tidak</v>
      </c>
      <c r="K47" s="1" t="str">
        <f t="shared" si="30"/>
        <v>Tidak</v>
      </c>
      <c r="L47" s="1" t="str">
        <f t="shared" si="31"/>
        <v>Tidak</v>
      </c>
      <c r="M47" s="1" t="str">
        <f t="shared" si="32"/>
        <v>Tidak</v>
      </c>
      <c r="N47" s="1" t="str">
        <f t="shared" si="33"/>
        <v>Tidak</v>
      </c>
      <c r="O47" s="1" t="str">
        <f t="shared" si="34"/>
        <v>Tidak</v>
      </c>
      <c r="P47" s="1" t="str">
        <f t="shared" si="35"/>
        <v>Tidak</v>
      </c>
      <c r="Q47" s="1" t="str">
        <f t="shared" si="36"/>
        <v>Tidak</v>
      </c>
      <c r="R47" s="1" t="str">
        <f t="shared" si="37"/>
        <v>Tidak</v>
      </c>
      <c r="S47" s="9" t="s">
        <v>118</v>
      </c>
      <c r="T47" s="1" t="str">
        <f t="shared" si="38"/>
        <v>IIIA</v>
      </c>
      <c r="U47" s="1" t="str">
        <f t="shared" si="21"/>
        <v>4-9 KGB aksila</v>
      </c>
      <c r="V47" s="1" t="s">
        <v>170</v>
      </c>
      <c r="W47" s="2" t="s">
        <v>223</v>
      </c>
      <c r="X47" s="1" t="s">
        <v>17</v>
      </c>
      <c r="Y47" s="1" t="str">
        <f t="shared" si="39"/>
        <v>&gt;5cm</v>
      </c>
      <c r="Z47" s="1" t="s">
        <v>84</v>
      </c>
      <c r="AA47" s="9">
        <v>45163</v>
      </c>
      <c r="AB47" s="9">
        <v>45268</v>
      </c>
      <c r="AC47" s="1">
        <f t="shared" si="40"/>
        <v>106</v>
      </c>
      <c r="AD47" s="1">
        <v>25</v>
      </c>
      <c r="AE47" s="1" t="s">
        <v>171</v>
      </c>
      <c r="AF47" s="1" t="str">
        <f t="shared" si="41"/>
        <v>Tidak ada</v>
      </c>
      <c r="AG47" s="1" t="s">
        <v>172</v>
      </c>
      <c r="AH47" s="1" t="str">
        <f t="shared" si="42"/>
        <v>Tidak ada</v>
      </c>
    </row>
    <row r="48" spans="1:34" ht="39.5" x14ac:dyDescent="0.35">
      <c r="A48" s="1">
        <v>53</v>
      </c>
      <c r="B48" s="1" t="s">
        <v>32</v>
      </c>
      <c r="C48" s="1" t="str">
        <f t="shared" si="22"/>
        <v>Ya</v>
      </c>
      <c r="D48" s="1" t="str">
        <f t="shared" si="23"/>
        <v>Tidak</v>
      </c>
      <c r="E48" s="1" t="str">
        <f t="shared" si="24"/>
        <v>Tidak</v>
      </c>
      <c r="F48" s="1" t="str">
        <f t="shared" si="25"/>
        <v>Tidak</v>
      </c>
      <c r="G48" s="1" t="str">
        <f t="shared" si="26"/>
        <v>Tidak</v>
      </c>
      <c r="H48" s="1" t="str">
        <f t="shared" si="27"/>
        <v>Tidak</v>
      </c>
      <c r="I48" s="1" t="str">
        <f t="shared" si="28"/>
        <v>Tidak</v>
      </c>
      <c r="J48" s="1" t="str">
        <f t="shared" si="29"/>
        <v>Tidak</v>
      </c>
      <c r="K48" s="1" t="str">
        <f t="shared" si="30"/>
        <v>Tidak</v>
      </c>
      <c r="L48" s="1" t="str">
        <f t="shared" si="31"/>
        <v>Tidak</v>
      </c>
      <c r="M48" s="1" t="str">
        <f t="shared" si="32"/>
        <v>Tidak</v>
      </c>
      <c r="N48" s="1" t="str">
        <f t="shared" si="33"/>
        <v>Tidak</v>
      </c>
      <c r="O48" s="1" t="str">
        <f t="shared" si="34"/>
        <v>Tidak</v>
      </c>
      <c r="P48" s="1" t="str">
        <f t="shared" si="35"/>
        <v>Tidak</v>
      </c>
      <c r="Q48" s="1" t="str">
        <f t="shared" si="36"/>
        <v>Tidak</v>
      </c>
      <c r="R48" s="1" t="str">
        <f t="shared" si="37"/>
        <v>Tidak</v>
      </c>
      <c r="S48" s="9" t="s">
        <v>75</v>
      </c>
      <c r="T48" s="1" t="str">
        <f t="shared" si="38"/>
        <v>IIB</v>
      </c>
      <c r="U48" s="1" t="str">
        <f t="shared" si="21"/>
        <v>Tidak ada metastasis KGB Regional</v>
      </c>
      <c r="V48" s="1" t="s">
        <v>173</v>
      </c>
      <c r="W48" s="2" t="s">
        <v>223</v>
      </c>
      <c r="X48" s="1" t="s">
        <v>17</v>
      </c>
      <c r="Y48" s="1" t="str">
        <f t="shared" si="39"/>
        <v>&gt;5cm</v>
      </c>
      <c r="Z48" s="1" t="s">
        <v>84</v>
      </c>
      <c r="AA48" s="9">
        <v>44875</v>
      </c>
      <c r="AB48" s="9">
        <v>45030</v>
      </c>
      <c r="AC48" s="1">
        <f t="shared" si="40"/>
        <v>156</v>
      </c>
      <c r="AD48" s="1">
        <v>25</v>
      </c>
      <c r="AE48" s="1" t="s">
        <v>174</v>
      </c>
      <c r="AF48" s="1" t="str">
        <f t="shared" si="41"/>
        <v>Tidak ada</v>
      </c>
      <c r="AG48" s="1" t="s">
        <v>175</v>
      </c>
      <c r="AH48" s="1" t="str">
        <f t="shared" si="42"/>
        <v>Tidak ada</v>
      </c>
    </row>
    <row r="49" spans="1:34" ht="39.5" x14ac:dyDescent="0.35">
      <c r="A49" s="1">
        <v>53</v>
      </c>
      <c r="B49" s="1"/>
      <c r="C49" s="1" t="str">
        <f t="shared" si="22"/>
        <v>Tidak</v>
      </c>
      <c r="D49" s="1" t="str">
        <f t="shared" si="23"/>
        <v>Tidak</v>
      </c>
      <c r="E49" s="1" t="str">
        <f t="shared" si="24"/>
        <v>Tidak</v>
      </c>
      <c r="F49" s="1" t="str">
        <f t="shared" si="25"/>
        <v>Tidak</v>
      </c>
      <c r="G49" s="1" t="str">
        <f t="shared" si="26"/>
        <v>Tidak</v>
      </c>
      <c r="H49" s="1" t="str">
        <f t="shared" si="27"/>
        <v>Tidak</v>
      </c>
      <c r="I49" s="1" t="str">
        <f t="shared" si="28"/>
        <v>Tidak</v>
      </c>
      <c r="J49" s="1" t="str">
        <f t="shared" si="29"/>
        <v>Tidak</v>
      </c>
      <c r="K49" s="1" t="str">
        <f t="shared" si="30"/>
        <v>Tidak</v>
      </c>
      <c r="L49" s="1" t="str">
        <f t="shared" si="31"/>
        <v>Tidak</v>
      </c>
      <c r="M49" s="1" t="str">
        <f t="shared" si="32"/>
        <v>Tidak</v>
      </c>
      <c r="N49" s="1" t="str">
        <f t="shared" si="33"/>
        <v>Tidak</v>
      </c>
      <c r="O49" s="1" t="str">
        <f t="shared" si="34"/>
        <v>Tidak</v>
      </c>
      <c r="P49" s="1" t="str">
        <f t="shared" si="35"/>
        <v>Tidak</v>
      </c>
      <c r="Q49" s="1" t="str">
        <f t="shared" si="36"/>
        <v>Tidak</v>
      </c>
      <c r="R49" s="1" t="str">
        <f t="shared" si="37"/>
        <v>Tidak</v>
      </c>
      <c r="S49" s="9" t="s">
        <v>160</v>
      </c>
      <c r="T49" s="1" t="str">
        <f t="shared" si="38"/>
        <v>IIIA</v>
      </c>
      <c r="U49" s="1" t="str">
        <f t="shared" si="21"/>
        <v>1-3 KGB aksila</v>
      </c>
      <c r="V49" s="1" t="s">
        <v>150</v>
      </c>
      <c r="W49" s="2" t="s">
        <v>223</v>
      </c>
      <c r="X49" s="1" t="s">
        <v>17</v>
      </c>
      <c r="Y49" s="1" t="str">
        <f t="shared" si="39"/>
        <v>&gt;5cm</v>
      </c>
      <c r="Z49" s="1" t="s">
        <v>84</v>
      </c>
      <c r="AA49" s="9">
        <v>45033</v>
      </c>
      <c r="AB49" s="9">
        <v>45191</v>
      </c>
      <c r="AC49" s="1">
        <f t="shared" si="40"/>
        <v>159</v>
      </c>
      <c r="AD49" s="1">
        <v>25</v>
      </c>
      <c r="AE49" s="1" t="s">
        <v>176</v>
      </c>
      <c r="AF49" s="1" t="str">
        <f t="shared" si="41"/>
        <v>Tidak ada</v>
      </c>
      <c r="AG49" s="1" t="s">
        <v>177</v>
      </c>
      <c r="AH49" s="1" t="str">
        <f t="shared" si="42"/>
        <v>Tidak ada</v>
      </c>
    </row>
    <row r="50" spans="1:34" ht="39" x14ac:dyDescent="0.35">
      <c r="A50" s="1">
        <v>62</v>
      </c>
      <c r="B50" s="1"/>
      <c r="C50" s="1" t="str">
        <f t="shared" si="22"/>
        <v>Tidak</v>
      </c>
      <c r="D50" s="1" t="str">
        <f t="shared" si="23"/>
        <v>Tidak</v>
      </c>
      <c r="E50" s="1" t="str">
        <f t="shared" si="24"/>
        <v>Tidak</v>
      </c>
      <c r="F50" s="1" t="str">
        <f t="shared" si="25"/>
        <v>Tidak</v>
      </c>
      <c r="G50" s="1" t="str">
        <f t="shared" si="26"/>
        <v>Tidak</v>
      </c>
      <c r="H50" s="1" t="str">
        <f t="shared" si="27"/>
        <v>Tidak</v>
      </c>
      <c r="I50" s="1" t="str">
        <f t="shared" si="28"/>
        <v>Tidak</v>
      </c>
      <c r="J50" s="1" t="str">
        <f t="shared" si="29"/>
        <v>Tidak</v>
      </c>
      <c r="K50" s="1" t="str">
        <f t="shared" si="30"/>
        <v>Tidak</v>
      </c>
      <c r="L50" s="1" t="str">
        <f t="shared" si="31"/>
        <v>Tidak</v>
      </c>
      <c r="M50" s="1" t="str">
        <f t="shared" si="32"/>
        <v>Tidak</v>
      </c>
      <c r="N50" s="1" t="str">
        <f t="shared" si="33"/>
        <v>Tidak</v>
      </c>
      <c r="O50" s="1" t="str">
        <f t="shared" si="34"/>
        <v>Tidak</v>
      </c>
      <c r="P50" s="1" t="str">
        <f t="shared" si="35"/>
        <v>Tidak</v>
      </c>
      <c r="Q50" s="1" t="str">
        <f t="shared" si="36"/>
        <v>Tidak</v>
      </c>
      <c r="R50" s="1" t="str">
        <f t="shared" si="37"/>
        <v>Tidak</v>
      </c>
      <c r="S50" s="9" t="s">
        <v>178</v>
      </c>
      <c r="T50" s="1" t="str">
        <f t="shared" si="38"/>
        <v>IIIA</v>
      </c>
      <c r="U50" s="1" t="str">
        <f t="shared" si="21"/>
        <v>Metastasis pada KGB infraklavikula ipsilateral</v>
      </c>
      <c r="V50" s="1" t="s">
        <v>179</v>
      </c>
      <c r="W50" s="3" t="s">
        <v>221</v>
      </c>
      <c r="X50" s="4" t="s">
        <v>17</v>
      </c>
      <c r="Y50" s="1" t="str">
        <f t="shared" si="39"/>
        <v>&gt;5cm</v>
      </c>
      <c r="Z50" s="1" t="s">
        <v>84</v>
      </c>
      <c r="AA50" s="9">
        <v>45169</v>
      </c>
      <c r="AB50" s="9">
        <v>45194</v>
      </c>
      <c r="AC50" s="1">
        <f t="shared" si="40"/>
        <v>26</v>
      </c>
      <c r="AD50" s="1">
        <v>25</v>
      </c>
      <c r="AE50" s="1" t="s">
        <v>180</v>
      </c>
      <c r="AF50" s="1" t="str">
        <f t="shared" si="41"/>
        <v>Tidak ada</v>
      </c>
      <c r="AG50" s="1" t="s">
        <v>181</v>
      </c>
      <c r="AH50" s="1" t="str">
        <f t="shared" si="42"/>
        <v>Tidak ada</v>
      </c>
    </row>
    <row r="51" spans="1:34" ht="39" x14ac:dyDescent="0.35">
      <c r="A51" s="1">
        <v>57</v>
      </c>
      <c r="B51" s="1"/>
      <c r="C51" s="1" t="str">
        <f t="shared" si="22"/>
        <v>Tidak</v>
      </c>
      <c r="D51" s="1" t="str">
        <f t="shared" si="23"/>
        <v>Tidak</v>
      </c>
      <c r="E51" s="1" t="str">
        <f t="shared" si="24"/>
        <v>Tidak</v>
      </c>
      <c r="F51" s="1" t="str">
        <f t="shared" si="25"/>
        <v>Tidak</v>
      </c>
      <c r="G51" s="1" t="str">
        <f t="shared" si="26"/>
        <v>Tidak</v>
      </c>
      <c r="H51" s="1" t="str">
        <f t="shared" si="27"/>
        <v>Tidak</v>
      </c>
      <c r="I51" s="1" t="str">
        <f t="shared" si="28"/>
        <v>Tidak</v>
      </c>
      <c r="J51" s="1" t="str">
        <f t="shared" si="29"/>
        <v>Tidak</v>
      </c>
      <c r="K51" s="1" t="str">
        <f t="shared" si="30"/>
        <v>Tidak</v>
      </c>
      <c r="L51" s="1" t="str">
        <f t="shared" si="31"/>
        <v>Tidak</v>
      </c>
      <c r="M51" s="1" t="str">
        <f t="shared" si="32"/>
        <v>Tidak</v>
      </c>
      <c r="N51" s="1" t="str">
        <f t="shared" si="33"/>
        <v>Tidak</v>
      </c>
      <c r="O51" s="1" t="str">
        <f t="shared" si="34"/>
        <v>Tidak</v>
      </c>
      <c r="P51" s="1" t="str">
        <f t="shared" si="35"/>
        <v>Tidak</v>
      </c>
      <c r="Q51" s="1" t="str">
        <f t="shared" si="36"/>
        <v>Tidak</v>
      </c>
      <c r="R51" s="1" t="str">
        <f t="shared" si="37"/>
        <v>Tidak</v>
      </c>
      <c r="S51" s="9" t="s">
        <v>118</v>
      </c>
      <c r="T51" s="1" t="str">
        <f t="shared" si="38"/>
        <v>IIIA</v>
      </c>
      <c r="U51" s="1" t="str">
        <f t="shared" si="21"/>
        <v>4-9 KGB aksila</v>
      </c>
      <c r="V51" s="1" t="s">
        <v>170</v>
      </c>
      <c r="W51" s="3" t="s">
        <v>218</v>
      </c>
      <c r="X51" s="4" t="s">
        <v>17</v>
      </c>
      <c r="Y51" s="1" t="str">
        <f t="shared" si="39"/>
        <v>&gt;5cm</v>
      </c>
      <c r="Z51" s="1" t="s">
        <v>84</v>
      </c>
      <c r="AA51" s="9">
        <v>45177</v>
      </c>
      <c r="AB51" s="9">
        <v>45287</v>
      </c>
      <c r="AC51" s="1">
        <f t="shared" si="40"/>
        <v>111</v>
      </c>
      <c r="AD51" s="1">
        <v>25</v>
      </c>
      <c r="AE51" s="1" t="s">
        <v>182</v>
      </c>
      <c r="AF51" s="1" t="str">
        <f t="shared" si="41"/>
        <v>Tidak ada</v>
      </c>
      <c r="AG51" s="1" t="s">
        <v>183</v>
      </c>
      <c r="AH51" s="1" t="str">
        <f t="shared" si="42"/>
        <v>Tidak ada</v>
      </c>
    </row>
    <row r="52" spans="1:34" ht="26" x14ac:dyDescent="0.35">
      <c r="A52" s="1">
        <v>45</v>
      </c>
      <c r="B52" s="1"/>
      <c r="C52" s="1" t="str">
        <f t="shared" si="22"/>
        <v>Tidak</v>
      </c>
      <c r="D52" s="1" t="str">
        <f t="shared" si="23"/>
        <v>Tidak</v>
      </c>
      <c r="E52" s="1" t="str">
        <f t="shared" si="24"/>
        <v>Tidak</v>
      </c>
      <c r="F52" s="1" t="str">
        <f t="shared" si="25"/>
        <v>Tidak</v>
      </c>
      <c r="G52" s="1" t="str">
        <f t="shared" si="26"/>
        <v>Tidak</v>
      </c>
      <c r="H52" s="1" t="str">
        <f t="shared" si="27"/>
        <v>Tidak</v>
      </c>
      <c r="I52" s="1" t="str">
        <f t="shared" si="28"/>
        <v>Tidak</v>
      </c>
      <c r="J52" s="1" t="str">
        <f t="shared" si="29"/>
        <v>Tidak</v>
      </c>
      <c r="K52" s="1" t="str">
        <f t="shared" si="30"/>
        <v>Tidak</v>
      </c>
      <c r="L52" s="1" t="str">
        <f t="shared" si="31"/>
        <v>Tidak</v>
      </c>
      <c r="M52" s="1" t="str">
        <f t="shared" si="32"/>
        <v>Tidak</v>
      </c>
      <c r="N52" s="1" t="str">
        <f t="shared" si="33"/>
        <v>Tidak</v>
      </c>
      <c r="O52" s="1" t="str">
        <f t="shared" si="34"/>
        <v>Tidak</v>
      </c>
      <c r="P52" s="1" t="str">
        <f t="shared" si="35"/>
        <v>Tidak</v>
      </c>
      <c r="Q52" s="1" t="str">
        <f t="shared" si="36"/>
        <v>Tidak</v>
      </c>
      <c r="R52" s="1" t="str">
        <f t="shared" si="37"/>
        <v>Tidak</v>
      </c>
      <c r="S52" s="9" t="s">
        <v>160</v>
      </c>
      <c r="T52" s="1" t="str">
        <f t="shared" si="38"/>
        <v>IIIA</v>
      </c>
      <c r="U52" s="1" t="str">
        <f t="shared" si="21"/>
        <v>1-3 KGB aksila</v>
      </c>
      <c r="V52" s="1" t="s">
        <v>150</v>
      </c>
      <c r="W52" s="3" t="s">
        <v>229</v>
      </c>
      <c r="X52" s="4" t="s">
        <v>10</v>
      </c>
      <c r="Y52" s="1" t="str">
        <f t="shared" si="39"/>
        <v>&gt;2 cm - &lt;5cm</v>
      </c>
      <c r="Z52" s="1" t="s">
        <v>84</v>
      </c>
      <c r="AA52" s="9">
        <v>45177</v>
      </c>
      <c r="AB52" s="9">
        <v>45204</v>
      </c>
      <c r="AC52" s="1">
        <f t="shared" si="40"/>
        <v>28</v>
      </c>
      <c r="AD52" s="1">
        <v>30</v>
      </c>
      <c r="AE52" s="1" t="s">
        <v>184</v>
      </c>
      <c r="AF52" s="1" t="str">
        <f t="shared" si="41"/>
        <v>Tidak ada</v>
      </c>
      <c r="AG52" s="1" t="s">
        <v>185</v>
      </c>
      <c r="AH52" s="1" t="str">
        <f t="shared" si="42"/>
        <v>Ada</v>
      </c>
    </row>
    <row r="53" spans="1:34" ht="26" x14ac:dyDescent="0.35">
      <c r="A53" s="1">
        <v>45</v>
      </c>
      <c r="B53" s="1"/>
      <c r="C53" s="1" t="str">
        <f t="shared" si="22"/>
        <v>Tidak</v>
      </c>
      <c r="D53" s="1" t="str">
        <f t="shared" si="23"/>
        <v>Tidak</v>
      </c>
      <c r="E53" s="1" t="str">
        <f t="shared" si="24"/>
        <v>Tidak</v>
      </c>
      <c r="F53" s="1" t="str">
        <f t="shared" si="25"/>
        <v>Tidak</v>
      </c>
      <c r="G53" s="1" t="str">
        <f t="shared" si="26"/>
        <v>Tidak</v>
      </c>
      <c r="H53" s="1" t="str">
        <f t="shared" si="27"/>
        <v>Tidak</v>
      </c>
      <c r="I53" s="1" t="str">
        <f t="shared" si="28"/>
        <v>Tidak</v>
      </c>
      <c r="J53" s="1" t="str">
        <f t="shared" si="29"/>
        <v>Tidak</v>
      </c>
      <c r="K53" s="1" t="str">
        <f t="shared" si="30"/>
        <v>Tidak</v>
      </c>
      <c r="L53" s="1" t="str">
        <f t="shared" si="31"/>
        <v>Tidak</v>
      </c>
      <c r="M53" s="1" t="str">
        <f t="shared" si="32"/>
        <v>Tidak</v>
      </c>
      <c r="N53" s="1" t="str">
        <f t="shared" si="33"/>
        <v>Tidak</v>
      </c>
      <c r="O53" s="1" t="str">
        <f t="shared" si="34"/>
        <v>Tidak</v>
      </c>
      <c r="P53" s="1" t="str">
        <f t="shared" si="35"/>
        <v>Tidak</v>
      </c>
      <c r="Q53" s="1" t="str">
        <f t="shared" si="36"/>
        <v>Tidak</v>
      </c>
      <c r="R53" s="1" t="str">
        <f t="shared" si="37"/>
        <v>Tidak</v>
      </c>
      <c r="S53" s="9" t="s">
        <v>95</v>
      </c>
      <c r="T53" s="1" t="str">
        <f t="shared" si="38"/>
        <v>IIA</v>
      </c>
      <c r="U53" s="1" t="str">
        <f t="shared" si="21"/>
        <v>Tidak ada metastasis KGB Regional</v>
      </c>
      <c r="V53" s="1" t="s">
        <v>186</v>
      </c>
      <c r="W53" s="3" t="s">
        <v>76</v>
      </c>
      <c r="X53" s="4" t="s">
        <v>17</v>
      </c>
      <c r="Y53" s="1" t="str">
        <f t="shared" si="39"/>
        <v>&gt;5cm</v>
      </c>
      <c r="Z53" s="1" t="s">
        <v>84</v>
      </c>
      <c r="AA53" s="9">
        <v>45001</v>
      </c>
      <c r="AB53" s="9">
        <v>45162</v>
      </c>
      <c r="AC53" s="1">
        <f t="shared" si="40"/>
        <v>162</v>
      </c>
      <c r="AD53" s="1">
        <v>30</v>
      </c>
      <c r="AE53" s="1" t="s">
        <v>187</v>
      </c>
      <c r="AF53" s="1" t="str">
        <f t="shared" si="41"/>
        <v>Tidak ada</v>
      </c>
      <c r="AG53" s="1" t="s">
        <v>188</v>
      </c>
      <c r="AH53" s="1" t="str">
        <f t="shared" si="42"/>
        <v>Tidak ada</v>
      </c>
    </row>
    <row r="54" spans="1:34" ht="39" x14ac:dyDescent="0.35">
      <c r="A54" s="1">
        <v>64</v>
      </c>
      <c r="B54" s="1"/>
      <c r="C54" s="1" t="str">
        <f t="shared" si="22"/>
        <v>Tidak</v>
      </c>
      <c r="D54" s="1" t="str">
        <f t="shared" si="23"/>
        <v>Tidak</v>
      </c>
      <c r="E54" s="1" t="str">
        <f t="shared" si="24"/>
        <v>Tidak</v>
      </c>
      <c r="F54" s="1" t="str">
        <f t="shared" si="25"/>
        <v>Tidak</v>
      </c>
      <c r="G54" s="1" t="str">
        <f t="shared" si="26"/>
        <v>Tidak</v>
      </c>
      <c r="H54" s="1" t="str">
        <f t="shared" si="27"/>
        <v>Tidak</v>
      </c>
      <c r="I54" s="1" t="str">
        <f t="shared" si="28"/>
        <v>Tidak</v>
      </c>
      <c r="J54" s="1" t="str">
        <f t="shared" si="29"/>
        <v>Tidak</v>
      </c>
      <c r="K54" s="1" t="str">
        <f t="shared" si="30"/>
        <v>Tidak</v>
      </c>
      <c r="L54" s="1" t="str">
        <f t="shared" si="31"/>
        <v>Tidak</v>
      </c>
      <c r="M54" s="1" t="str">
        <f t="shared" si="32"/>
        <v>Tidak</v>
      </c>
      <c r="N54" s="1" t="str">
        <f t="shared" si="33"/>
        <v>Tidak</v>
      </c>
      <c r="O54" s="1" t="str">
        <f t="shared" si="34"/>
        <v>Tidak</v>
      </c>
      <c r="P54" s="1" t="str">
        <f t="shared" si="35"/>
        <v>Tidak</v>
      </c>
      <c r="Q54" s="1" t="str">
        <f t="shared" si="36"/>
        <v>Tidak</v>
      </c>
      <c r="R54" s="1" t="str">
        <f t="shared" si="37"/>
        <v>Tidak</v>
      </c>
      <c r="S54" s="9" t="s">
        <v>75</v>
      </c>
      <c r="T54" s="1" t="str">
        <f t="shared" si="38"/>
        <v>IIB</v>
      </c>
      <c r="U54" s="1" t="str">
        <f t="shared" si="21"/>
        <v>Tidak ada metastasis KGB Regional</v>
      </c>
      <c r="V54" s="1" t="s">
        <v>65</v>
      </c>
      <c r="W54" s="3" t="s">
        <v>230</v>
      </c>
      <c r="X54" s="4" t="s">
        <v>17</v>
      </c>
      <c r="Y54" s="1" t="str">
        <f t="shared" si="39"/>
        <v>&gt;5cm</v>
      </c>
      <c r="Z54" s="1" t="s">
        <v>84</v>
      </c>
      <c r="AA54" s="9">
        <v>45112</v>
      </c>
      <c r="AB54" s="9">
        <v>45217</v>
      </c>
      <c r="AC54" s="1">
        <f t="shared" si="40"/>
        <v>106</v>
      </c>
      <c r="AD54" s="1">
        <v>25</v>
      </c>
      <c r="AE54" s="1" t="s">
        <v>189</v>
      </c>
      <c r="AF54" s="1" t="str">
        <f t="shared" si="41"/>
        <v>Tidak ada</v>
      </c>
      <c r="AG54" s="1" t="s">
        <v>190</v>
      </c>
      <c r="AH54" s="1" t="str">
        <f t="shared" si="42"/>
        <v>Tidak ada</v>
      </c>
    </row>
    <row r="55" spans="1:34" ht="26.5" x14ac:dyDescent="0.35">
      <c r="A55" s="1">
        <v>46</v>
      </c>
      <c r="B55" s="1"/>
      <c r="C55" s="1" t="str">
        <f t="shared" si="22"/>
        <v>Tidak</v>
      </c>
      <c r="D55" s="1" t="str">
        <f t="shared" si="23"/>
        <v>Tidak</v>
      </c>
      <c r="E55" s="1" t="str">
        <f t="shared" si="24"/>
        <v>Tidak</v>
      </c>
      <c r="F55" s="1" t="str">
        <f t="shared" si="25"/>
        <v>Tidak</v>
      </c>
      <c r="G55" s="1" t="str">
        <f t="shared" si="26"/>
        <v>Tidak</v>
      </c>
      <c r="H55" s="1" t="str">
        <f t="shared" si="27"/>
        <v>Tidak</v>
      </c>
      <c r="I55" s="1" t="str">
        <f t="shared" si="28"/>
        <v>Tidak</v>
      </c>
      <c r="J55" s="1" t="str">
        <f t="shared" si="29"/>
        <v>Tidak</v>
      </c>
      <c r="K55" s="1" t="str">
        <f t="shared" si="30"/>
        <v>Tidak</v>
      </c>
      <c r="L55" s="1" t="str">
        <f t="shared" si="31"/>
        <v>Tidak</v>
      </c>
      <c r="M55" s="1" t="str">
        <f t="shared" si="32"/>
        <v>Tidak</v>
      </c>
      <c r="N55" s="1" t="str">
        <f t="shared" si="33"/>
        <v>Tidak</v>
      </c>
      <c r="O55" s="1" t="str">
        <f t="shared" si="34"/>
        <v>Tidak</v>
      </c>
      <c r="P55" s="1" t="str">
        <f t="shared" si="35"/>
        <v>Tidak</v>
      </c>
      <c r="Q55" s="1" t="str">
        <f t="shared" si="36"/>
        <v>Tidak</v>
      </c>
      <c r="R55" s="1" t="str">
        <f t="shared" si="37"/>
        <v>Tidak</v>
      </c>
      <c r="S55" s="9" t="s">
        <v>75</v>
      </c>
      <c r="T55" s="1" t="str">
        <f t="shared" si="38"/>
        <v>IIB</v>
      </c>
      <c r="U55" s="1" t="str">
        <f t="shared" si="21"/>
        <v>Tidak ada metastasis KGB Regional</v>
      </c>
      <c r="V55" s="1" t="s">
        <v>65</v>
      </c>
      <c r="W55" s="5" t="s">
        <v>228</v>
      </c>
      <c r="X55" s="9" t="s">
        <v>17</v>
      </c>
      <c r="Y55" s="1" t="str">
        <f t="shared" si="39"/>
        <v>&gt;5cm</v>
      </c>
      <c r="Z55" s="1" t="s">
        <v>84</v>
      </c>
      <c r="AA55" s="9">
        <v>44924</v>
      </c>
      <c r="AB55" s="1">
        <v>45089</v>
      </c>
      <c r="AC55" s="1">
        <f t="shared" si="40"/>
        <v>166</v>
      </c>
      <c r="AD55" s="9">
        <v>25</v>
      </c>
      <c r="AE55" s="9" t="s">
        <v>191</v>
      </c>
      <c r="AF55" s="1" t="str">
        <f t="shared" si="41"/>
        <v>Tidak ada</v>
      </c>
      <c r="AG55" s="1" t="s">
        <v>192</v>
      </c>
      <c r="AH55" s="1" t="str">
        <f t="shared" si="42"/>
        <v>Tidak ada</v>
      </c>
    </row>
    <row r="56" spans="1:34" ht="26" x14ac:dyDescent="0.35">
      <c r="A56" s="1">
        <v>41</v>
      </c>
      <c r="B56" s="1"/>
      <c r="C56" s="1" t="str">
        <f t="shared" si="22"/>
        <v>Tidak</v>
      </c>
      <c r="D56" s="1" t="str">
        <f t="shared" si="23"/>
        <v>Tidak</v>
      </c>
      <c r="E56" s="1" t="str">
        <f t="shared" si="24"/>
        <v>Tidak</v>
      </c>
      <c r="F56" s="1" t="str">
        <f t="shared" si="25"/>
        <v>Tidak</v>
      </c>
      <c r="G56" s="1" t="str">
        <f t="shared" si="26"/>
        <v>Tidak</v>
      </c>
      <c r="H56" s="1" t="str">
        <f t="shared" si="27"/>
        <v>Tidak</v>
      </c>
      <c r="I56" s="1" t="str">
        <f t="shared" si="28"/>
        <v>Tidak</v>
      </c>
      <c r="J56" s="1" t="str">
        <f t="shared" si="29"/>
        <v>Tidak</v>
      </c>
      <c r="K56" s="1" t="str">
        <f t="shared" si="30"/>
        <v>Tidak</v>
      </c>
      <c r="L56" s="1" t="str">
        <f t="shared" si="31"/>
        <v>Tidak</v>
      </c>
      <c r="M56" s="1" t="str">
        <f t="shared" si="32"/>
        <v>Tidak</v>
      </c>
      <c r="N56" s="1" t="str">
        <f t="shared" si="33"/>
        <v>Tidak</v>
      </c>
      <c r="O56" s="1" t="str">
        <f t="shared" si="34"/>
        <v>Tidak</v>
      </c>
      <c r="P56" s="1" t="str">
        <f t="shared" si="35"/>
        <v>Tidak</v>
      </c>
      <c r="Q56" s="1" t="str">
        <f t="shared" si="36"/>
        <v>Tidak</v>
      </c>
      <c r="R56" s="1" t="str">
        <f t="shared" si="37"/>
        <v>Tidak</v>
      </c>
      <c r="S56" s="9" t="s">
        <v>118</v>
      </c>
      <c r="T56" s="1" t="str">
        <f t="shared" si="38"/>
        <v>IIIA</v>
      </c>
      <c r="U56" s="1" t="str">
        <f t="shared" si="21"/>
        <v>4-9 KGB aksila</v>
      </c>
      <c r="V56" s="13" t="s">
        <v>170</v>
      </c>
      <c r="W56" s="3" t="s">
        <v>220</v>
      </c>
      <c r="X56" s="4" t="s">
        <v>17</v>
      </c>
      <c r="Y56" s="1" t="str">
        <f t="shared" si="39"/>
        <v>&gt;5cm</v>
      </c>
      <c r="Z56" s="1" t="s">
        <v>84</v>
      </c>
      <c r="AA56" s="14">
        <v>45042</v>
      </c>
      <c r="AB56" s="9">
        <v>45148</v>
      </c>
      <c r="AC56" s="1">
        <f t="shared" si="40"/>
        <v>107</v>
      </c>
      <c r="AD56" s="1">
        <v>60</v>
      </c>
      <c r="AE56" s="1" t="s">
        <v>193</v>
      </c>
      <c r="AF56" s="1" t="str">
        <f t="shared" si="41"/>
        <v>Tidak ada</v>
      </c>
      <c r="AG56" s="1" t="s">
        <v>194</v>
      </c>
      <c r="AH56" s="1" t="str">
        <f t="shared" si="42"/>
        <v>Tidak ada</v>
      </c>
    </row>
    <row r="57" spans="1:34" ht="39" x14ac:dyDescent="0.35">
      <c r="A57" s="15">
        <v>54</v>
      </c>
      <c r="B57" s="1"/>
      <c r="C57" s="1" t="str">
        <f t="shared" si="22"/>
        <v>Tidak</v>
      </c>
      <c r="D57" s="1" t="str">
        <f t="shared" si="23"/>
        <v>Tidak</v>
      </c>
      <c r="E57" s="1" t="str">
        <f t="shared" si="24"/>
        <v>Tidak</v>
      </c>
      <c r="F57" s="1" t="str">
        <f t="shared" si="25"/>
        <v>Tidak</v>
      </c>
      <c r="G57" s="1" t="str">
        <f t="shared" si="26"/>
        <v>Tidak</v>
      </c>
      <c r="H57" s="1" t="str">
        <f t="shared" si="27"/>
        <v>Tidak</v>
      </c>
      <c r="I57" s="1" t="str">
        <f t="shared" si="28"/>
        <v>Tidak</v>
      </c>
      <c r="J57" s="1" t="str">
        <f t="shared" si="29"/>
        <v>Tidak</v>
      </c>
      <c r="K57" s="1" t="str">
        <f t="shared" si="30"/>
        <v>Tidak</v>
      </c>
      <c r="L57" s="1" t="str">
        <f t="shared" si="31"/>
        <v>Tidak</v>
      </c>
      <c r="M57" s="1" t="str">
        <f t="shared" si="32"/>
        <v>Tidak</v>
      </c>
      <c r="N57" s="1" t="str">
        <f t="shared" si="33"/>
        <v>Tidak</v>
      </c>
      <c r="O57" s="1" t="str">
        <f t="shared" si="34"/>
        <v>Tidak</v>
      </c>
      <c r="P57" s="1" t="str">
        <f t="shared" si="35"/>
        <v>Tidak</v>
      </c>
      <c r="Q57" s="1" t="str">
        <f t="shared" si="36"/>
        <v>Tidak</v>
      </c>
      <c r="R57" s="1" t="str">
        <f t="shared" si="37"/>
        <v>Tidak</v>
      </c>
      <c r="S57" s="16" t="s">
        <v>139</v>
      </c>
      <c r="T57" s="1" t="str">
        <f t="shared" si="38"/>
        <v>IIIC</v>
      </c>
      <c r="U57" s="1" t="str">
        <f t="shared" si="21"/>
        <v>&gt;10 KGB aksila atau infraklavikula</v>
      </c>
      <c r="V57" s="17" t="s">
        <v>195</v>
      </c>
      <c r="W57" s="3" t="s">
        <v>218</v>
      </c>
      <c r="X57" s="4" t="s">
        <v>22</v>
      </c>
      <c r="Y57" s="1" t="str">
        <f t="shared" si="39"/>
        <v>&gt;5 cm dengan eksistensi langsung ke dinding dada/kulit</v>
      </c>
      <c r="Z57" s="1" t="s">
        <v>196</v>
      </c>
      <c r="AA57" s="9">
        <v>45068</v>
      </c>
      <c r="AB57" s="9">
        <v>45224</v>
      </c>
      <c r="AC57" s="1">
        <f t="shared" si="40"/>
        <v>157</v>
      </c>
      <c r="AD57" s="1">
        <v>25</v>
      </c>
      <c r="AE57" s="1" t="s">
        <v>197</v>
      </c>
      <c r="AF57" s="1" t="str">
        <f t="shared" si="41"/>
        <v>Tidak ada</v>
      </c>
      <c r="AG57" s="1" t="s">
        <v>198</v>
      </c>
      <c r="AH57" s="1" t="str">
        <f t="shared" si="42"/>
        <v>Tidak ada</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2025-04-23T13:33:35Z</dcterms:created>
  <dcterms:modified xsi:type="dcterms:W3CDTF">2025-04-23T17:00:53Z</dcterms:modified>
</cp:coreProperties>
</file>